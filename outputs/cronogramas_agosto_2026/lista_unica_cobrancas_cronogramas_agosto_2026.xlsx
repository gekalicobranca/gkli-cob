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2ea0d56e1d49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ea2d2eb92de446ed"/>
    <x:sheet xmlns:r="http://schemas.openxmlformats.org/officeDocument/2006/relationships" name="Lista única" sheetId="2" r:id="R6e481740056a48ea"/>
    <x:sheet xmlns:r="http://schemas.openxmlformats.org/officeDocument/2006/relationships" name="Condomínios" sheetId="3" r:id="R4074c3fa550f4bad"/>
    <x:sheet xmlns:r="http://schemas.openxmlformats.org/officeDocument/2006/relationships" name="Descartadas" sheetId="4" r:id="R512183e555ae4a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R$&quot; #,##0.00"/>
    <x:numFmt numFmtId="201" formatCode="dd/mm/yyyy"/>
    <x:numFmt numFmtId="202" formatCode="@"/>
  </x:numFmts>
  <x:fonts count="15">
    <x:font>
      <x:sz val="11"/>
      <x:name val="Carlito"/>
    </x:font>
    <x:font>
      <x:b/>
      <x:sz val="18"/>
      <x:color rgb="FFFFFFFF"/>
      <x:name val="Carlito"/>
    </x:font>
    <x:font>
      <x:sz val="11"/>
      <x:color rgb="FF0F172A"/>
      <x:name val="Carlito"/>
    </x:font>
    <x:font>
      <x:b/>
      <x:sz val="11"/>
      <x:color rgb="FF475569"/>
      <x:name val="Carlito"/>
    </x:font>
    <x:font>
      <x:b/>
      <x:sz val="14"/>
      <x:color rgb="FF064E6A"/>
      <x:name val="Carlito"/>
    </x:font>
    <x:font>
      <x:sz val="11"/>
      <x:color rgb="FF9A3412"/>
      <x:name val="Carlito"/>
    </x:font>
    <x:font>
      <x:b/>
      <x:sz val="11"/>
      <x:color rgb="FF064E6A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1"/>
      <x:color rgb="FF475569"/>
      <x:name val="Aptos"/>
    </x:font>
    <x:font>
      <x:b/>
      <x:sz val="14"/>
      <x:color rgb="FF064E6A"/>
      <x:name val="Aptos"/>
    </x:font>
    <x:font>
      <x:sz val="11"/>
      <x:color rgb="FF9A3412"/>
      <x:name val="Aptos"/>
    </x:font>
    <x:font>
      <x:b/>
      <x:sz val="11"/>
      <x:color rgb="FF064E6A"/>
      <x:name val="Aptos"/>
    </x:font>
    <x:font>
      <x:b/>
      <x:sz val="11"/>
      <x:color rgb="FFFFFFFF"/>
      <x:name val="Carlito"/>
    </x:font>
    <x:font>
      <x:b/>
      <x:sz val="11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064E6A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  <x:fill>
      <x:patternFill patternType="solid">
        <x:fgColor rgb="FFDCEEF5"/>
      </x:patternFill>
    </x:fill>
    <x:fill>
      <x:patternFill patternType="solid">
        <x:fgColor rgb="FF7F1D1D"/>
      </x:patternFill>
    </x:fill>
  </x:fills>
  <x:borders count="4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200" fontId="4" fillId="3" borderId="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9" fillId="3" borderId="1" xfId="0" applyNumberFormat="1" applyFont="1" applyFill="1" applyBorder="1"/>
    <x:xf numFmtId="0" fontId="10" fillId="3" borderId="1" xfId="0" applyNumberFormat="1" applyFont="1" applyFill="1" applyBorder="1"/>
    <x:xf numFmtId="0" fontId="9" fillId="3" borderId="2" xfId="0" applyNumberFormat="1" applyFont="1" applyFill="1" applyBorder="1"/>
    <x:xf numFmtId="200" fontId="10" fillId="3" borderId="2" xfId="0" applyNumberFormat="1" applyFont="1" applyFill="1" applyBorder="1"/>
    <x:xf numFmtId="0" fontId="10" fillId="3" borderId="2" xfId="0" applyNumberFormat="1" applyFont="1" applyFill="1" applyBorder="1"/>
    <x:xf numFmtId="0" fontId="9" fillId="3" borderId="3" xfId="0" applyNumberFormat="1" applyFont="1" applyFill="1" applyBorder="1"/>
    <x:xf numFmtId="0" fontId="10" fillId="3" borderId="3" xfId="0" applyNumberFormat="1" applyFont="1" applyFill="1" applyBorder="1"/>
    <x:xf numFmtId="0" fontId="11" fillId="4" borderId="0" xfId="0" applyNumberFormat="1" applyFont="1" applyFill="1" applyBorder="1" applyAlignment="1">
      <x:alignment wrapText="1"/>
    </x:xf>
    <x:xf numFmtId="0" fontId="12" fillId="5" borderId="0" xfId="0" applyNumberFormat="1" applyFont="1" applyFill="1" applyBorder="1"/>
    <x:xf numFmtId="0" fontId="13" fillId="2" borderId="0" xfId="0" applyNumberFormat="1" applyFont="1" applyFill="1" applyBorder="1"/>
    <x:xf numFmtId="0" fontId="13" fillId="2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4" fillId="2" borderId="0" xfId="0" applyNumberFormat="1" applyFont="1" applyFill="1" applyBorder="1" applyAlignment="1">
      <x:alignment wrapText="1"/>
    </x:xf>
    <x:xf numFmtId="201" fontId="8" fillId="0" borderId="0" xfId="0" applyNumberFormat="1" applyFont="1" applyFill="1" applyBorder="1"/>
    <x:xf numFmtId="202" fontId="8" fillId="0" borderId="0" xfId="0" applyNumberFormat="1" applyFont="1" applyFill="1" applyBorder="1"/>
    <x:xf numFmtId="200" fontId="8" fillId="0" borderId="0" xfId="0" applyNumberFormat="1" applyFont="1" applyFill="1" applyBorder="1"/>
    <x:xf numFmtId="0" fontId="14" fillId="2" borderId="0" xfId="0" applyNumberFormat="1" applyFont="1" applyFill="1" applyBorder="1"/>
    <x:xf numFmtId="0" fontId="0" fillId="6" borderId="0" xfId="0" applyNumberFormat="1" applyFont="1" applyFill="1" applyBorder="1"/>
    <x:xf numFmtId="0" fontId="13" fillId="6" borderId="0" xfId="0" applyNumberFormat="1" applyFont="1" applyFill="1" applyBorder="1"/>
    <x:xf numFmtId="0" fontId="14" fillId="6" borderId="0" xfId="0" applyNumberFormat="1" applyFont="1" applyFill="1" applyBorder="1"/>
  </x:cellXfs>
  <x:cellStyles count="1">
    <x:cellStyle name="Normal" xfId="0"/>
  </x:cellStyles>
  <x:dxfs count="6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095fb309674aee" /><Relationship Type="http://schemas.openxmlformats.org/officeDocument/2006/relationships/theme" Target="/xl/theme/theme1.xml" Id="R51dfc7aa96194679" /><Relationship Type="http://schemas.openxmlformats.org/officeDocument/2006/relationships/sharedStrings" Target="/xl/sharedStrings.xml" Id="R05e69ab4fac64750" /><Relationship Type="http://schemas.openxmlformats.org/officeDocument/2006/relationships/worksheet" Target="/xl/worksheets/sheet1.xml" Id="Rea2d2eb92de446ed" /><Relationship Type="http://schemas.openxmlformats.org/officeDocument/2006/relationships/worksheet" Target="/xl/worksheets/sheet2.xml" Id="R6e481740056a48ea" /><Relationship Type="http://schemas.openxmlformats.org/officeDocument/2006/relationships/worksheet" Target="/xl/worksheets/sheet3.xml" Id="R4074c3fa550f4bad" /><Relationship Type="http://schemas.openxmlformats.org/officeDocument/2006/relationships/worksheet" Target="/xl/worksheets/sheet4.xml" Id="R512183e555ae4a1c" /></Relationships>
</file>

<file path=xl/tables/table1.xml><?xml version="1.0" encoding="utf-8"?>
<x:table xmlns:x="http://schemas.openxmlformats.org/spreadsheetml/2006/main" id="1" name="ListaCobrancas" displayName="ListaCobrancas" ref="A1:Q265" headerRowCount="1" totalsRowCount="0" totalsRowShown="0">
  <x:tableColumns count="17">
    <x:tableColumn id="1" name="Origem"/>
    <x:tableColumn id="2" name="Linha origem"/>
    <x:tableColumn id="3" name="Data entrada"/>
    <x:tableColumn id="4" name="Administradora"/>
    <x:tableColumn id="5" name="Lote"/>
    <x:tableColumn id="6" name="Código Cedrus"/>
    <x:tableColumn id="7" name="Condomínio no cronograma"/>
    <x:tableColumn id="8" name="Condomínio no app"/>
    <x:tableColumn id="9" name="Validação"/>
    <x:tableColumn id="10" name="Status no app"/>
    <x:tableColumn id="11" name="CNPJ no app"/>
    <x:tableColumn id="12" name="Unidade"/>
    <x:tableColumn id="13" name="Bloco"/>
    <x:tableColumn id="14" name="Débito condominial"/>
    <x:tableColumn id="15" name="Valor"/>
    <x:tableColumn id="16" name="Situação no cronograma"/>
    <x:tableColumn id="17" name="Observações consolidada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alidacaoCondominios" displayName="ValidacaoCondominios" ref="A1:H65" headerRowCount="1" totalsRowCount="0" totalsRowShown="0">
  <x:tableColumns count="8">
    <x:tableColumn id="1" name="Condomínio no cronograma"/>
    <x:tableColumn id="2" name="Condomínio no app"/>
    <x:tableColumn id="3" name="Validação"/>
    <x:tableColumn id="4" name="Status no app"/>
    <x:tableColumn id="5" name="CNPJ no app"/>
    <x:tableColumn id="6" name="Cobranças"/>
    <x:tableColumn id="7" name="Valor total"/>
    <x:tableColumn id="8" name="Arquivos de orige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inhasDescartadas" displayName="LinhasDescartadas" ref="A1:G7" headerRowCount="1" totalsRowCount="0" totalsRowShown="0">
  <x:tableColumns count="7">
    <x:tableColumn id="1" name="Origem"/>
    <x:tableColumn id="2" name="Linha origem"/>
    <x:tableColumn id="3" name="Condomínio"/>
    <x:tableColumn id="4" name="Unidade"/>
    <x:tableColumn id="5" name="Bloco"/>
    <x:tableColumn id="6" name="Valor"/>
    <x:tableColumn id="7" name="Motivo/anot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d85a0314d2b4a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9a8490ba4d4e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0705201eaf42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4" customHeight="1">
      <x:c r="A1" s="21" t="str">
        <x:v>Lista única de cobranças — cronogramas agosto/2026</x:v>
      </x:c>
      <x:c r="B1" s="21"/>
      <x:c r="C1" s="21"/>
      <x:c r="D1" s="21"/>
      <x:c r="E1" s="21"/>
      <x:c r="F1" s="21"/>
    </x:row>
    <x:row r="2">
      <x:c r="A2" s="22"/>
      <x:c r="B2" s="22"/>
      <x:c r="C2" s="22"/>
      <x:c r="D2" s="22"/>
      <x:c r="E2" s="22"/>
      <x:c r="F2" s="22"/>
    </x:row>
    <x:row r="3">
      <x:c r="A3" s="23" t="str">
        <x:v>Cobranças consolidadas</x:v>
      </x:c>
      <x:c r="B3" s="24" t="n">
        <x:f>COUNTA('Lista única'!A2:A265)</x:f>
        <x:v>264</x:v>
      </x:c>
      <x:c r="C3" s="22"/>
      <x:c r="D3" s="22"/>
      <x:c r="E3" s="22"/>
      <x:c r="F3" s="22"/>
    </x:row>
    <x:row r="4">
      <x:c r="A4" s="25" t="str">
        <x:v>Valor total</x:v>
      </x:c>
      <x:c r="B4" s="26" t="n">
        <x:f>SUM('Lista única'!O2:O265)</x:f>
        <x:v>384637.79000000015</x:v>
      </x:c>
      <x:c r="C4" s="22"/>
      <x:c r="D4" s="22"/>
      <x:c r="E4" s="22"/>
      <x:c r="F4" s="22"/>
    </x:row>
    <x:row r="5">
      <x:c r="A5" s="25" t="str">
        <x:v>Condomínios confirmados</x:v>
      </x:c>
      <x:c r="B5" s="27" t="n">
        <x:v>52</x:v>
      </x:c>
      <x:c r="C5" s="22"/>
      <x:c r="D5" s="22"/>
      <x:c r="E5" s="22"/>
      <x:c r="F5" s="22"/>
    </x:row>
    <x:row r="6">
      <x:c r="A6" s="25" t="str">
        <x:v>Condomínios prováveis</x:v>
      </x:c>
      <x:c r="B6" s="27" t="n">
        <x:v>11</x:v>
      </x:c>
      <x:c r="C6" s="22"/>
      <x:c r="D6" s="22"/>
      <x:c r="E6" s="22"/>
      <x:c r="F6" s="22"/>
    </x:row>
    <x:row r="7">
      <x:c r="A7" s="25" t="str">
        <x:v>Condomínios não localizados</x:v>
      </x:c>
      <x:c r="B7" s="27" t="n">
        <x:f>COUNTIF('Condomínios'!C2:C65,"Não localizado")</x:f>
        <x:v>1</x:v>
      </x:c>
      <x:c r="C7" s="22"/>
      <x:c r="D7" s="22"/>
      <x:c r="E7" s="22"/>
      <x:c r="F7" s="22"/>
    </x:row>
    <x:row r="8">
      <x:c r="A8" s="25" t="str">
        <x:v>Cobranças de condomínios inativos</x:v>
      </x:c>
      <x:c r="B8" s="27" t="n">
        <x:f>COUNTIF('Lista única'!J2:J265,"inativo")</x:f>
        <x:v>3</x:v>
      </x:c>
      <x:c r="C8" s="22"/>
      <x:c r="D8" s="22"/>
      <x:c r="E8" s="22"/>
      <x:c r="F8" s="22"/>
    </x:row>
    <x:row r="9">
      <x:c r="A9" s="25" t="str">
        <x:v>Registros sem valor</x:v>
      </x:c>
      <x:c r="B9" s="27" t="n">
        <x:f>COUNTBLANK('Lista única'!O2:O265)</x:f>
        <x:v>3</x:v>
      </x:c>
      <x:c r="C9" s="22"/>
      <x:c r="D9" s="22"/>
      <x:c r="E9" s="22"/>
      <x:c r="F9" s="22"/>
    </x:row>
    <x:row r="10">
      <x:c r="A10" s="28" t="str">
        <x:v>Linhas descartadas sem débito</x:v>
      </x:c>
      <x:c r="B10" s="29" t="n">
        <x:f>COUNTA('Descartadas'!A2:A7)</x:f>
        <x:v>6</x:v>
      </x:c>
      <x:c r="C10" s="22"/>
      <x:c r="D10" s="22"/>
      <x:c r="E10" s="22"/>
      <x:c r="F10" s="22"/>
    </x:row>
    <x:row r="11">
      <x:c r="A11" s="22"/>
      <x:c r="B11" s="22"/>
      <x:c r="C11" s="22"/>
      <x:c r="D11" s="22"/>
      <x:c r="E11" s="22"/>
      <x:c r="F11" s="22"/>
    </x:row>
    <x:row r="12" ht="44" customHeight="1">
      <x:c r="A12" s="30" t="str">
        <x:v>Critério: abas principais “08-2026”; removidas 6 linhas explicitamente marcadas sem débito ou com cotas desaparecidas. Correspondências prováveis devem ser conferidas antes da importação.</x:v>
      </x:c>
      <x:c r="B12" s="30"/>
      <x:c r="C12" s="30"/>
      <x:c r="D12" s="30"/>
      <x:c r="E12" s="30"/>
      <x:c r="F12" s="30"/>
    </x:row>
    <x:row r="13">
      <x:c r="A13" s="22"/>
      <x:c r="B13" s="22"/>
      <x:c r="C13" s="22"/>
      <x:c r="D13" s="22"/>
      <x:c r="E13" s="22"/>
      <x:c r="F13" s="22"/>
    </x:row>
    <x:row r="14">
      <x:c r="A14" s="31" t="str">
        <x:v>Origem</x:v>
      </x:c>
      <x:c r="B14" s="31" t="str">
        <x:v>Arquivo</x:v>
      </x:c>
      <x:c r="C14" s="22"/>
      <x:c r="D14" s="22"/>
      <x:c r="E14" s="22"/>
      <x:c r="F14" s="22"/>
    </x:row>
    <x:row r="15">
      <x:c r="A15" s="22" t="str">
        <x:v>Cronograma geral</x:v>
      </x:c>
      <x:c r="B15" s="22" t="str">
        <x:v>CRONOGRAMA UNIDADES 08-2026.xlsx</x:v>
      </x:c>
      <x:c r="C15" s="22"/>
      <x:c r="D15" s="22"/>
      <x:c r="E15" s="22"/>
      <x:c r="F15" s="22"/>
    </x:row>
    <x:row r="16">
      <x:c r="A16" s="22" t="str">
        <x:v>Camila</x:v>
      </x:c>
      <x:c r="B16" s="22" t="str">
        <x:v>CRONOGRAMA UNIDADES 08-26 CAMILA.xlsx</x:v>
      </x:c>
      <x:c r="C16" s="22"/>
      <x:c r="D16" s="22"/>
      <x:c r="E16" s="22"/>
      <x:c r="F16" s="22"/>
    </x:row>
    <x:row r="17">
      <x:c r="A17" s="22" t="str">
        <x:v>Dani</x:v>
      </x:c>
      <x:c r="B17" s="22" t="str">
        <x:v>CRONOGRAMA UNIDADES 08-26 DANI.xlsx</x:v>
      </x:c>
      <x:c r="C17" s="22"/>
      <x:c r="D17" s="22"/>
      <x:c r="E17" s="22"/>
      <x:c r="F17" s="22"/>
    </x:row>
  </x:sheetData>
  <x:mergeCells>
    <x:mergeCell ref="A1:F1"/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13" hidden="0" customWidth="1"/>
    <x:col min="4" max="4" width="16" hidden="0" customWidth="1"/>
    <x:col min="5" max="5" width="11" hidden="0" customWidth="1"/>
    <x:col min="6" max="6" width="11" hidden="0" customWidth="1"/>
    <x:col min="7" max="7" width="42" hidden="0" customWidth="1"/>
    <x:col min="8" max="8" width="42" hidden="0" customWidth="1"/>
    <x:col min="9" max="9" width="16" hidden="0" customWidth="1"/>
    <x:col min="10" max="10" width="16" hidden="0" customWidth="1"/>
    <x:col min="11" max="11" width="18" hidden="0" customWidth="1"/>
    <x:col min="12" max="12" width="12" hidden="0" customWidth="1"/>
    <x:col min="13" max="13" width="12" hidden="0" customWidth="1"/>
    <x:col min="14" max="14" width="18" hidden="0" customWidth="1"/>
    <x:col min="15" max="15" width="15" hidden="0" customWidth="1"/>
    <x:col min="16" max="16" width="23" hidden="0" customWidth="1"/>
    <x:col min="17" max="17" width="55" hidden="0" customWidth="1"/>
  </x:cols>
  <x:sheetData>
    <x:row r="1">
      <x:c r="A1" s="37" t="str">
        <x:v>Origem</x:v>
      </x:c>
      <x:c r="B1" s="37" t="str">
        <x:v>Linha origem</x:v>
      </x:c>
      <x:c r="C1" s="37" t="str">
        <x:v>Data entrada</x:v>
      </x:c>
      <x:c r="D1" s="37" t="str">
        <x:v>Administradora</x:v>
      </x:c>
      <x:c r="E1" s="37" t="str">
        <x:v>Lote</x:v>
      </x:c>
      <x:c r="F1" s="37" t="str">
        <x:v>Código Cedrus</x:v>
      </x:c>
      <x:c r="G1" s="37" t="str">
        <x:v>Condomínio no cronograma</x:v>
      </x:c>
      <x:c r="H1" s="37" t="str">
        <x:v>Condomínio no app</x:v>
      </x:c>
      <x:c r="I1" s="37" t="str">
        <x:v>Validação</x:v>
      </x:c>
      <x:c r="J1" s="37" t="str">
        <x:v>Status no app</x:v>
      </x:c>
      <x:c r="K1" s="37" t="str">
        <x:v>CNPJ no app</x:v>
      </x:c>
      <x:c r="L1" s="37" t="str">
        <x:v>Unidade</x:v>
      </x:c>
      <x:c r="M1" s="37" t="str">
        <x:v>Bloco</x:v>
      </x:c>
      <x:c r="N1" s="37" t="str">
        <x:v>Débito condominial</x:v>
      </x:c>
      <x:c r="O1" s="37" t="str">
        <x:v>Valor</x:v>
      </x:c>
      <x:c r="P1" s="37" t="str">
        <x:v>Situação no cronograma</x:v>
      </x:c>
      <x:c r="Q1" s="37" t="str">
        <x:v>Observações consolidadas</x:v>
      </x:c>
    </x:row>
    <x:row r="2">
      <x:c r="A2" s="22" t="str">
        <x:v>Cronograma geral</x:v>
      </x:c>
      <x:c r="B2" s="22" t="n">
        <x:v>2</x:v>
      </x:c>
      <x:c r="C2" s="38" t="n">
        <x:v>46251</x:v>
      </x:c>
      <x:c r="D2" s="22" t="str">
        <x:v>HABITACIONAL</x:v>
      </x:c>
      <x:c r="E2" s="22" t="n">
        <x:v>1</x:v>
      </x:c>
      <x:c r="F2" s="22" t="n">
        <x:v>5940</x:v>
      </x:c>
      <x:c r="G2" s="22" t="str">
        <x:v>CONDOMÍNIO RESIDENCIAL METROCASA MORUMBI</x:v>
      </x:c>
      <x:c r="H2" s="22" t="str">
        <x:v>CONDOMÍNIO RESIDENCIAL METROCASA MORUMBI</x:v>
      </x:c>
      <x:c r="I2" s="22" t="str">
        <x:v>Confirmado</x:v>
      </x:c>
      <x:c r="J2" s="22" t="str">
        <x:v>inativo</x:v>
      </x:c>
      <x:c r="K2" s="39" t="str">
        <x:v>53.344.499/0001-10</x:v>
      </x:c>
      <x:c r="L2" s="39" t="str">
        <x:v>103</x:v>
      </x:c>
      <x:c r="M2" s="39" t="str">
        <x:v>0</x:v>
      </x:c>
      <x:c r="N2" s="38" t="str">
        <x:v>10/04/2026 e 10/06/2026</x:v>
      </x:c>
      <x:c r="O2" s="40" t="n">
        <x:v>5000</x:v>
      </x:c>
      <x:c r="P2" s="22" t="str">
        <x:v>Cobrança realizada</x:v>
      </x:c>
      <x:c r="Q2" s="22" t="str">
        <x:v>multas por infração | Cobrança: 11 93028-6006 e e-mail - 19/08</x:v>
      </x:c>
    </x:row>
    <x:row r="3">
      <x:c r="A3" s="22" t="str">
        <x:v>Cronograma geral</x:v>
      </x:c>
      <x:c r="B3" s="22" t="n">
        <x:v>3</x:v>
      </x:c>
      <x:c r="C3" s="38" t="n">
        <x:v>46251</x:v>
      </x:c>
      <x:c r="D3" s="22" t="str">
        <x:v>HABITACIONAL</x:v>
      </x:c>
      <x:c r="E3" s="22" t="n">
        <x:v>1</x:v>
      </x:c>
      <x:c r="F3" s="22" t="n">
        <x:v>5940</x:v>
      </x:c>
      <x:c r="G3" s="22" t="str">
        <x:v>CONDOMÍNIO RESIDENCIAL METROCASA MORUMBI</x:v>
      </x:c>
      <x:c r="H3" s="22" t="str">
        <x:v>CONDOMÍNIO RESIDENCIAL METROCASA MORUMBI</x:v>
      </x:c>
      <x:c r="I3" s="22" t="str">
        <x:v>Confirmado</x:v>
      </x:c>
      <x:c r="J3" s="22" t="str">
        <x:v>inativo</x:v>
      </x:c>
      <x:c r="K3" s="39" t="str">
        <x:v>53.344.499/0001-10</x:v>
      </x:c>
      <x:c r="L3" s="39" t="str">
        <x:v>1108</x:v>
      </x:c>
      <x:c r="M3" s="39" t="str">
        <x:v>0</x:v>
      </x:c>
      <x:c r="N3" s="38" t="n">
        <x:v>46213</x:v>
      </x:c>
      <x:c r="O3" s="40" t="n">
        <x:v>60.16</x:v>
      </x:c>
      <x:c r="P3" s="22" t="str">
        <x:v>Cobrança realizada</x:v>
      </x:c>
      <x:c r="Q3" s="22" t="str">
        <x:v>aluguel de churraqueira | Cobrança: 11 98163-9562 e e-mail - 19/08</x:v>
      </x:c>
    </x:row>
    <x:row r="4">
      <x:c r="A4" s="22" t="str">
        <x:v>Cronograma geral</x:v>
      </x:c>
      <x:c r="B4" s="22" t="n">
        <x:v>5</x:v>
      </x:c>
      <x:c r="C4" s="38" t="n">
        <x:v>46251</x:v>
      </x:c>
      <x:c r="D4" s="22" t="str">
        <x:v>HUBERT</x:v>
      </x:c>
      <x:c r="E4" s="22" t="n">
        <x:v>1</x:v>
      </x:c>
      <x:c r="F4" s="22" t="n">
        <x:v>31</x:v>
      </x:c>
      <x:c r="G4" s="22" t="str">
        <x:v>CONDOMÍNIO SAFIRA</x:v>
      </x:c>
      <x:c r="H4" s="22" t="str">
        <x:v>CONDOMÍNIO SAFIRA</x:v>
      </x:c>
      <x:c r="I4" s="22" t="str">
        <x:v>Confirmado</x:v>
      </x:c>
      <x:c r="J4" s="22" t="str">
        <x:v>ativo</x:v>
      </x:c>
      <x:c r="K4" s="39" t="str">
        <x:v>55.361.065/0001-54</x:v>
      </x:c>
      <x:c r="L4" s="39" t="str">
        <x:v>66-01</x:v>
      </x:c>
      <x:c r="M4" s="39" t="str">
        <x:v>1</x:v>
      </x:c>
      <x:c r="N4" s="38" t="n">
        <x:v>46213</x:v>
      </x:c>
      <x:c r="O4" s="40" t="n">
        <x:v>402.9</x:v>
      </x:c>
      <x:c r="P4" s="22" t="str">
        <x:v>Cobrança realizada</x:v>
      </x:c>
      <x:c r="Q4" s="22" t="str">
        <x:v>Cobrança: 11 94065-9463 e e-mail - 20/08</x:v>
      </x:c>
    </x:row>
    <x:row r="5">
      <x:c r="A5" s="22" t="str">
        <x:v>Cronograma geral</x:v>
      </x:c>
      <x:c r="B5" s="22" t="n">
        <x:v>6</x:v>
      </x:c>
      <x:c r="C5" s="38" t="n">
        <x:v>46251</x:v>
      </x:c>
      <x:c r="D5" s="22" t="str">
        <x:v>HUBERT</x:v>
      </x:c>
      <x:c r="E5" s="22" t="n">
        <x:v>1</x:v>
      </x:c>
      <x:c r="F5" s="22" t="n">
        <x:v>31</x:v>
      </x:c>
      <x:c r="G5" s="22" t="str">
        <x:v>CONDOMÍNIO SAFIRA</x:v>
      </x:c>
      <x:c r="H5" s="22" t="str">
        <x:v>CONDOMÍNIO SAFIRA</x:v>
      </x:c>
      <x:c r="I5" s="22" t="str">
        <x:v>Confirmado</x:v>
      </x:c>
      <x:c r="J5" s="22" t="str">
        <x:v>ativo</x:v>
      </x:c>
      <x:c r="K5" s="39" t="str">
        <x:v>55.361.065/0001-54</x:v>
      </x:c>
      <x:c r="L5" s="39" t="str">
        <x:v>85-01</x:v>
      </x:c>
      <x:c r="M5" s="39" t="str">
        <x:v>1</x:v>
      </x:c>
      <x:c r="N5" s="38" t="n">
        <x:v>46213</x:v>
      </x:c>
      <x:c r="O5" s="40" t="n">
        <x:v>498.64</x:v>
      </x:c>
      <x:c r="P5" s="22" t="str">
        <x:v>Cobrança realizada</x:v>
      </x:c>
      <x:c r="Q5" s="22" t="str">
        <x:v>Cobrança: 11 98811-1926 e e-mail - 20/08</x:v>
      </x:c>
    </x:row>
    <x:row r="6">
      <x:c r="A6" s="22" t="str">
        <x:v>Cronograma geral</x:v>
      </x:c>
      <x:c r="B6" s="22" t="n">
        <x:v>7</x:v>
      </x:c>
      <x:c r="C6" s="38" t="n">
        <x:v>46251</x:v>
      </x:c>
      <x:c r="D6" s="22" t="str">
        <x:v>HUBERT</x:v>
      </x:c>
      <x:c r="E6" s="22" t="n">
        <x:v>1</x:v>
      </x:c>
      <x:c r="F6" s="22" t="n">
        <x:v>31</x:v>
      </x:c>
      <x:c r="G6" s="22" t="str">
        <x:v>CONDOMÍNIO SAFIRA</x:v>
      </x:c>
      <x:c r="H6" s="22" t="str">
        <x:v>CONDOMÍNIO SAFIRA</x:v>
      </x:c>
      <x:c r="I6" s="22" t="str">
        <x:v>Confirmado</x:v>
      </x:c>
      <x:c r="J6" s="22" t="str">
        <x:v>ativo</x:v>
      </x:c>
      <x:c r="K6" s="39" t="str">
        <x:v>55.361.065/0001-54</x:v>
      </x:c>
      <x:c r="L6" s="39" t="str">
        <x:v>25-02</x:v>
      </x:c>
      <x:c r="M6" s="39" t="str">
        <x:v>2</x:v>
      </x:c>
      <x:c r="N6" s="38" t="n">
        <x:v>46213</x:v>
      </x:c>
      <x:c r="O6" s="40" t="n">
        <x:v>401.79</x:v>
      </x:c>
      <x:c r="P6" s="22" t="str">
        <x:v>Sem contato</x:v>
      </x:c>
      <x:c r="Q6" s="22" t="str">
        <x:v>Achar ctt | Cobrança: e-mail - 20/08</x:v>
      </x:c>
    </x:row>
    <x:row r="7">
      <x:c r="A7" s="22" t="str">
        <x:v>Cronograma geral</x:v>
      </x:c>
      <x:c r="B7" s="22" t="n">
        <x:v>8</x:v>
      </x:c>
      <x:c r="C7" s="38" t="n">
        <x:v>46251</x:v>
      </x:c>
      <x:c r="D7" s="22" t="str">
        <x:v>HUBERT</x:v>
      </x:c>
      <x:c r="E7" s="22" t="n">
        <x:v>1</x:v>
      </x:c>
      <x:c r="F7" s="22" t="n">
        <x:v>31</x:v>
      </x:c>
      <x:c r="G7" s="22" t="str">
        <x:v>CONDOMÍNIO SAFIRA</x:v>
      </x:c>
      <x:c r="H7" s="22" t="str">
        <x:v>CONDOMÍNIO SAFIRA</x:v>
      </x:c>
      <x:c r="I7" s="22" t="str">
        <x:v>Confirmado</x:v>
      </x:c>
      <x:c r="J7" s="22" t="str">
        <x:v>ativo</x:v>
      </x:c>
      <x:c r="K7" s="39" t="str">
        <x:v>55.361.065/0001-54</x:v>
      </x:c>
      <x:c r="L7" s="39" t="str">
        <x:v>02-03</x:v>
      </x:c>
      <x:c r="M7" s="39" t="str">
        <x:v>3</x:v>
      </x:c>
      <x:c r="N7" s="38" t="n">
        <x:v>46213</x:v>
      </x:c>
      <x:c r="O7" s="40" t="n">
        <x:v>388.86</x:v>
      </x:c>
      <x:c r="P7" s="22" t="str">
        <x:v>Sem contato</x:v>
      </x:c>
      <x:c r="Q7" s="22" t="str">
        <x:v>Achar ctt | Cobrança: e-mail - 20/08</x:v>
      </x:c>
    </x:row>
    <x:row r="8">
      <x:c r="A8" s="22" t="str">
        <x:v>Cronograma geral</x:v>
      </x:c>
      <x:c r="B8" s="22" t="n">
        <x:v>9</x:v>
      </x:c>
      <x:c r="C8" s="38" t="n">
        <x:v>46251</x:v>
      </x:c>
      <x:c r="D8" s="22" t="str">
        <x:v>HUBERT</x:v>
      </x:c>
      <x:c r="E8" s="22" t="n">
        <x:v>1</x:v>
      </x:c>
      <x:c r="F8" s="22" t="n">
        <x:v>31</x:v>
      </x:c>
      <x:c r="G8" s="22" t="str">
        <x:v>CONDOMÍNIO SAFIRA</x:v>
      </x:c>
      <x:c r="H8" s="22" t="str">
        <x:v>CONDOMÍNIO SAFIRA</x:v>
      </x:c>
      <x:c r="I8" s="22" t="str">
        <x:v>Confirmado</x:v>
      </x:c>
      <x:c r="J8" s="22" t="str">
        <x:v>ativo</x:v>
      </x:c>
      <x:c r="K8" s="39" t="str">
        <x:v>55.361.065/0001-54</x:v>
      </x:c>
      <x:c r="L8" s="39" t="str">
        <x:v>41-03</x:v>
      </x:c>
      <x:c r="M8" s="39" t="str">
        <x:v>3</x:v>
      </x:c>
      <x:c r="N8" s="38" t="n">
        <x:v>46213</x:v>
      </x:c>
      <x:c r="O8" s="40" t="n">
        <x:v>401.79</x:v>
      </x:c>
      <x:c r="P8" s="22" t="str">
        <x:v>Cobrança realizada</x:v>
      </x:c>
      <x:c r="Q8" s="22" t="str">
        <x:v>Cobrança: e e-mail - 20/08</x:v>
      </x:c>
    </x:row>
    <x:row r="9">
      <x:c r="A9" s="22" t="str">
        <x:v>Cronograma geral</x:v>
      </x:c>
      <x:c r="B9" s="22" t="n">
        <x:v>10</x:v>
      </x:c>
      <x:c r="C9" s="38" t="n">
        <x:v>46251</x:v>
      </x:c>
      <x:c r="D9" s="22" t="str">
        <x:v>HUBERT</x:v>
      </x:c>
      <x:c r="E9" s="22" t="n">
        <x:v>1</x:v>
      </x:c>
      <x:c r="F9" s="22" t="n">
        <x:v>31</x:v>
      </x:c>
      <x:c r="G9" s="22" t="str">
        <x:v>CONDOMÍNIO SAFIRA</x:v>
      </x:c>
      <x:c r="H9" s="22" t="str">
        <x:v>CONDOMÍNIO SAFIRA</x:v>
      </x:c>
      <x:c r="I9" s="22" t="str">
        <x:v>Confirmado</x:v>
      </x:c>
      <x:c r="J9" s="22" t="str">
        <x:v>ativo</x:v>
      </x:c>
      <x:c r="K9" s="39" t="str">
        <x:v>55.361.065/0001-54</x:v>
      </x:c>
      <x:c r="L9" s="39" t="str">
        <x:v>43-03</x:v>
      </x:c>
      <x:c r="M9" s="39" t="str">
        <x:v>3</x:v>
      </x:c>
      <x:c r="N9" s="38" t="n">
        <x:v>46213</x:v>
      </x:c>
      <x:c r="O9" s="40" t="n">
        <x:v>388.86</x:v>
      </x:c>
      <x:c r="P9" s="22" t="str">
        <x:v>Cobrança realizada</x:v>
      </x:c>
      <x:c r="Q9" s="22" t="str">
        <x:v>Cobrança: 11 99477-3259 e e-mail - 20/08</x:v>
      </x:c>
    </x:row>
    <x:row r="10">
      <x:c r="A10" s="22" t="str">
        <x:v>Cronograma geral</x:v>
      </x:c>
      <x:c r="B10" s="22" t="n">
        <x:v>11</x:v>
      </x:c>
      <x:c r="C10" s="38" t="n">
        <x:v>46251</x:v>
      </x:c>
      <x:c r="D10" s="22" t="str">
        <x:v>HUBERT</x:v>
      </x:c>
      <x:c r="E10" s="22" t="n">
        <x:v>1</x:v>
      </x:c>
      <x:c r="F10" s="22" t="n">
        <x:v>31</x:v>
      </x:c>
      <x:c r="G10" s="22" t="str">
        <x:v>CONDOMÍNIO SAFIRA</x:v>
      </x:c>
      <x:c r="H10" s="22" t="str">
        <x:v>CONDOMÍNIO SAFIRA</x:v>
      </x:c>
      <x:c r="I10" s="22" t="str">
        <x:v>Confirmado</x:v>
      </x:c>
      <x:c r="J10" s="22" t="str">
        <x:v>ativo</x:v>
      </x:c>
      <x:c r="K10" s="39" t="str">
        <x:v>55.361.065/0001-54</x:v>
      </x:c>
      <x:c r="L10" s="39" t="str">
        <x:v>48-03</x:v>
      </x:c>
      <x:c r="M10" s="39" t="str">
        <x:v>3</x:v>
      </x:c>
      <x:c r="N10" s="38" t="n">
        <x:v>46213</x:v>
      </x:c>
      <x:c r="O10" s="40" t="n">
        <x:v>401.79</x:v>
      </x:c>
      <x:c r="P10" s="22" t="str">
        <x:v>Sem contato</x:v>
      </x:c>
      <x:c r="Q10" s="22" t="str">
        <x:v>Achar ctt | Cobrança: e-mail - 20/08</x:v>
      </x:c>
    </x:row>
    <x:row r="11">
      <x:c r="A11" s="22" t="str">
        <x:v>Cronograma geral</x:v>
      </x:c>
      <x:c r="B11" s="22" t="n">
        <x:v>12</x:v>
      </x:c>
      <x:c r="C11" s="38" t="n">
        <x:v>46251</x:v>
      </x:c>
      <x:c r="D11" s="22" t="str">
        <x:v>HUBERT</x:v>
      </x:c>
      <x:c r="E11" s="22" t="n">
        <x:v>1</x:v>
      </x:c>
      <x:c r="F11" s="22" t="n">
        <x:v>31</x:v>
      </x:c>
      <x:c r="G11" s="22" t="str">
        <x:v>CONDOMÍNIO SAFIRA</x:v>
      </x:c>
      <x:c r="H11" s="22" t="str">
        <x:v>CONDOMÍNIO SAFIRA</x:v>
      </x:c>
      <x:c r="I11" s="22" t="str">
        <x:v>Confirmado</x:v>
      </x:c>
      <x:c r="J11" s="22" t="str">
        <x:v>ativo</x:v>
      </x:c>
      <x:c r="K11" s="39" t="str">
        <x:v>55.361.065/0001-54</x:v>
      </x:c>
      <x:c r="L11" s="39" t="str">
        <x:v>64-03</x:v>
      </x:c>
      <x:c r="M11" s="39" t="str">
        <x:v>3</x:v>
      </x:c>
      <x:c r="N11" s="38" t="n">
        <x:v>46213</x:v>
      </x:c>
      <x:c r="O11" s="40" t="n">
        <x:v>401.79</x:v>
      </x:c>
      <x:c r="P11" s="22" t="str">
        <x:v>Cobrança realizada</x:v>
      </x:c>
      <x:c r="Q11" s="22" t="str">
        <x:v>Aguardando confirmação da adm sobre comprovante | Cobrança: 11 98817-8050 e e-mail - 20/08</x:v>
      </x:c>
    </x:row>
    <x:row r="12">
      <x:c r="A12" s="22" t="str">
        <x:v>Cronograma geral</x:v>
      </x:c>
      <x:c r="B12" s="22" t="n">
        <x:v>14</x:v>
      </x:c>
      <x:c r="C12" s="38" t="n">
        <x:v>46251</x:v>
      </x:c>
      <x:c r="D12" s="22" t="str">
        <x:v>HUBERT</x:v>
      </x:c>
      <x:c r="E12" s="22" t="n">
        <x:v>1</x:v>
      </x:c>
      <x:c r="F12" s="22" t="n">
        <x:v>31</x:v>
      </x:c>
      <x:c r="G12" s="22" t="str">
        <x:v>CONDOMÍNIO SAFIRA</x:v>
      </x:c>
      <x:c r="H12" s="22" t="str">
        <x:v>CONDOMÍNIO SAFIRA</x:v>
      </x:c>
      <x:c r="I12" s="22" t="str">
        <x:v>Confirmado</x:v>
      </x:c>
      <x:c r="J12" s="22" t="str">
        <x:v>ativo</x:v>
      </x:c>
      <x:c r="K12" s="39" t="str">
        <x:v>55.361.065/0001-54</x:v>
      </x:c>
      <x:c r="L12" s="39" t="str">
        <x:v>38-04</x:v>
      </x:c>
      <x:c r="M12" s="39" t="str">
        <x:v>4</x:v>
      </x:c>
      <x:c r="N12" s="38" t="n">
        <x:v>46213</x:v>
      </x:c>
      <x:c r="O12" s="40" t="n">
        <x:v>401.79</x:v>
      </x:c>
      <x:c r="P12" s="22" t="str">
        <x:v>Cobrança realizada</x:v>
      </x:c>
      <x:c r="Q12" s="22" t="str">
        <x:v>Cobrança: 11 93706-7809 e e-mail - 20/08</x:v>
      </x:c>
    </x:row>
    <x:row r="13">
      <x:c r="A13" s="22" t="str">
        <x:v>Cronograma geral</x:v>
      </x:c>
      <x:c r="B13" s="22" t="n">
        <x:v>15</x:v>
      </x:c>
      <x:c r="C13" s="38" t="n">
        <x:v>46251</x:v>
      </x:c>
      <x:c r="D13" s="22" t="str">
        <x:v>HUBERT</x:v>
      </x:c>
      <x:c r="E13" s="22" t="n">
        <x:v>1</x:v>
      </x:c>
      <x:c r="F13" s="22" t="n">
        <x:v>31</x:v>
      </x:c>
      <x:c r="G13" s="22" t="str">
        <x:v>CONDOMÍNIO SAFIRA</x:v>
      </x:c>
      <x:c r="H13" s="22" t="str">
        <x:v>CONDOMÍNIO SAFIRA</x:v>
      </x:c>
      <x:c r="I13" s="22" t="str">
        <x:v>Confirmado</x:v>
      </x:c>
      <x:c r="J13" s="22" t="str">
        <x:v>ativo</x:v>
      </x:c>
      <x:c r="K13" s="39" t="str">
        <x:v>55.361.065/0001-54</x:v>
      </x:c>
      <x:c r="L13" s="39" t="str">
        <x:v>85-04</x:v>
      </x:c>
      <x:c r="M13" s="39" t="str">
        <x:v>4</x:v>
      </x:c>
      <x:c r="N13" s="38" t="n">
        <x:v>46213</x:v>
      </x:c>
      <x:c r="O13" s="40" t="n">
        <x:v>401.79</x:v>
      </x:c>
      <x:c r="P13" s="22" t="str">
        <x:v>Com acordo</x:v>
      </x:c>
      <x:c r="Q13" s="22" t="str">
        <x:v>Cobrança: 11 98907-6391 e e-mail - 20/08 | Acordo com venc 24/08</x:v>
      </x:c>
    </x:row>
    <x:row r="14">
      <x:c r="A14" s="22" t="str">
        <x:v>Cronograma geral</x:v>
      </x:c>
      <x:c r="B14" s="22" t="n">
        <x:v>16</x:v>
      </x:c>
      <x:c r="C14" s="38" t="n">
        <x:v>46251</x:v>
      </x:c>
      <x:c r="D14" s="22" t="str">
        <x:v>HUBERT</x:v>
      </x:c>
      <x:c r="E14" s="22" t="n">
        <x:v>1</x:v>
      </x:c>
      <x:c r="F14" s="22" t="n">
        <x:v>31</x:v>
      </x:c>
      <x:c r="G14" s="22" t="str">
        <x:v>CONDOMÍNIO SAFIRA</x:v>
      </x:c>
      <x:c r="H14" s="22" t="str">
        <x:v>CONDOMÍNIO SAFIRA</x:v>
      </x:c>
      <x:c r="I14" s="22" t="str">
        <x:v>Confirmado</x:v>
      </x:c>
      <x:c r="J14" s="22" t="str">
        <x:v>ativo</x:v>
      </x:c>
      <x:c r="K14" s="39" t="str">
        <x:v>55.361.065/0001-54</x:v>
      </x:c>
      <x:c r="L14" s="39" t="str">
        <x:v>06-05</x:v>
      </x:c>
      <x:c r="M14" s="39" t="str">
        <x:v>5</x:v>
      </x:c>
      <x:c r="N14" s="38" t="n">
        <x:v>46213</x:v>
      </x:c>
      <x:c r="O14" s="40" t="n">
        <x:v>388.86</x:v>
      </x:c>
      <x:c r="P14" s="22" t="str">
        <x:v>Cobrança realizada</x:v>
      </x:c>
      <x:c r="Q14" s="22" t="str">
        <x:v>Cobrança: 11 95669-6674 e e-mail - 20/08</x:v>
      </x:c>
    </x:row>
    <x:row r="15">
      <x:c r="A15" s="22" t="str">
        <x:v>Cronograma geral</x:v>
      </x:c>
      <x:c r="B15" s="22" t="n">
        <x:v>17</x:v>
      </x:c>
      <x:c r="C15" s="38" t="n">
        <x:v>46251</x:v>
      </x:c>
      <x:c r="D15" s="22" t="str">
        <x:v>HUBERT</x:v>
      </x:c>
      <x:c r="E15" s="22" t="n">
        <x:v>1</x:v>
      </x:c>
      <x:c r="F15" s="22" t="n">
        <x:v>31</x:v>
      </x:c>
      <x:c r="G15" s="22" t="str">
        <x:v>CONDOMÍNIO SAFIRA</x:v>
      </x:c>
      <x:c r="H15" s="22" t="str">
        <x:v>CONDOMÍNIO SAFIRA</x:v>
      </x:c>
      <x:c r="I15" s="22" t="str">
        <x:v>Confirmado</x:v>
      </x:c>
      <x:c r="J15" s="22" t="str">
        <x:v>ativo</x:v>
      </x:c>
      <x:c r="K15" s="39" t="str">
        <x:v>55.361.065/0001-54</x:v>
      </x:c>
      <x:c r="L15" s="39" t="str">
        <x:v>43-05</x:v>
      </x:c>
      <x:c r="M15" s="39" t="str">
        <x:v>5</x:v>
      </x:c>
      <x:c r="N15" s="38" t="n">
        <x:v>46213</x:v>
      </x:c>
      <x:c r="O15" s="40" t="n">
        <x:v>388.86</x:v>
      </x:c>
      <x:c r="P15" s="22" t="str">
        <x:v>Sem contato</x:v>
      </x:c>
      <x:c r="Q15" s="22" t="str">
        <x:v>Achar ctt | Cobrança: e-mail - 20/08</x:v>
      </x:c>
    </x:row>
    <x:row r="16">
      <x:c r="A16" s="22" t="str">
        <x:v>Cronograma geral</x:v>
      </x:c>
      <x:c r="B16" s="22" t="n">
        <x:v>18</x:v>
      </x:c>
      <x:c r="C16" s="38" t="n">
        <x:v>46251</x:v>
      </x:c>
      <x:c r="D16" s="22" t="str">
        <x:v>HUBERT</x:v>
      </x:c>
      <x:c r="E16" s="22" t="n">
        <x:v>1</x:v>
      </x:c>
      <x:c r="F16" s="22" t="n">
        <x:v>31</x:v>
      </x:c>
      <x:c r="G16" s="22" t="str">
        <x:v>CONDOMÍNIO SAFIRA</x:v>
      </x:c>
      <x:c r="H16" s="22" t="str">
        <x:v>CONDOMÍNIO SAFIRA</x:v>
      </x:c>
      <x:c r="I16" s="22" t="str">
        <x:v>Confirmado</x:v>
      </x:c>
      <x:c r="J16" s="22" t="str">
        <x:v>ativo</x:v>
      </x:c>
      <x:c r="K16" s="39" t="str">
        <x:v>55.361.065/0001-54</x:v>
      </x:c>
      <x:c r="L16" s="39" t="str">
        <x:v>57-05</x:v>
      </x:c>
      <x:c r="M16" s="39" t="str">
        <x:v>5</x:v>
      </x:c>
      <x:c r="N16" s="38" t="n">
        <x:v>46213</x:v>
      </x:c>
      <x:c r="O16" s="40" t="n">
        <x:v>388.86</x:v>
      </x:c>
      <x:c r="P16" s="22" t="str">
        <x:v>Sem contato</x:v>
      </x:c>
      <x:c r="Q16" s="22" t="str">
        <x:v>Achar ctt | Cobrança: e-mail - 20/08</x:v>
      </x:c>
    </x:row>
    <x:row r="17">
      <x:c r="A17" s="22" t="str">
        <x:v>Cronograma geral</x:v>
      </x:c>
      <x:c r="B17" s="22" t="n">
        <x:v>20</x:v>
      </x:c>
      <x:c r="C17" s="38" t="n">
        <x:v>46251</x:v>
      </x:c>
      <x:c r="D17" s="22" t="str">
        <x:v>HUBERT</x:v>
      </x:c>
      <x:c r="E17" s="22" t="n">
        <x:v>1</x:v>
      </x:c>
      <x:c r="F17" s="22" t="n">
        <x:v>31</x:v>
      </x:c>
      <x:c r="G17" s="22" t="str">
        <x:v>CONDOMÍNIO SAFIRA</x:v>
      </x:c>
      <x:c r="H17" s="22" t="str">
        <x:v>CONDOMÍNIO SAFIRA</x:v>
      </x:c>
      <x:c r="I17" s="22" t="str">
        <x:v>Confirmado</x:v>
      </x:c>
      <x:c r="J17" s="22" t="str">
        <x:v>ativo</x:v>
      </x:c>
      <x:c r="K17" s="39" t="str">
        <x:v>55.361.065/0001-54</x:v>
      </x:c>
      <x:c r="L17" s="39" t="str">
        <x:v>96-05</x:v>
      </x:c>
      <x:c r="M17" s="39" t="str">
        <x:v>5</x:v>
      </x:c>
      <x:c r="N17" s="38" t="n">
        <x:v>46213</x:v>
      </x:c>
      <x:c r="O17" s="40" t="n">
        <x:v>388.86</x:v>
      </x:c>
      <x:c r="P17" s="22" t="str">
        <x:v>Cobrança realizada</x:v>
      </x:c>
      <x:c r="Q17" s="22" t="str">
        <x:v>Cobrança: 11 95116-5612 e e-mail - 20/08</x:v>
      </x:c>
    </x:row>
    <x:row r="18">
      <x:c r="A18" s="22" t="str">
        <x:v>Cronograma geral</x:v>
      </x:c>
      <x:c r="B18" s="22" t="n">
        <x:v>21</x:v>
      </x:c>
      <x:c r="C18" s="38" t="n">
        <x:v>46251</x:v>
      </x:c>
      <x:c r="D18" s="22" t="str">
        <x:v>HUBERT</x:v>
      </x:c>
      <x:c r="E18" s="22" t="n">
        <x:v>1</x:v>
      </x:c>
      <x:c r="F18" s="22" t="n">
        <x:v>31</x:v>
      </x:c>
      <x:c r="G18" s="22" t="str">
        <x:v>CONDOMÍNIO SAFIRA</x:v>
      </x:c>
      <x:c r="H18" s="22" t="str">
        <x:v>CONDOMÍNIO SAFIRA</x:v>
      </x:c>
      <x:c r="I18" s="22" t="str">
        <x:v>Confirmado</x:v>
      </x:c>
      <x:c r="J18" s="22" t="str">
        <x:v>ativo</x:v>
      </x:c>
      <x:c r="K18" s="39" t="str">
        <x:v>55.361.065/0001-54</x:v>
      </x:c>
      <x:c r="L18" s="39" t="str">
        <x:v>08-06</x:v>
      </x:c>
      <x:c r="M18" s="39" t="str">
        <x:v>6</x:v>
      </x:c>
      <x:c r="N18" s="38" t="n">
        <x:v>46213</x:v>
      </x:c>
      <x:c r="O18" s="40" t="n">
        <x:v>401.79</x:v>
      </x:c>
      <x:c r="P18" s="22" t="str">
        <x:v>Cobrança realizada</x:v>
      </x:c>
      <x:c r="Q18" s="22" t="str">
        <x:v>Cobrança: 11 95092-2197 e e-mail - 20/08</x:v>
      </x:c>
    </x:row>
    <x:row r="19">
      <x:c r="A19" s="22" t="str">
        <x:v>Cronograma geral</x:v>
      </x:c>
      <x:c r="B19" s="22" t="n">
        <x:v>22</x:v>
      </x:c>
      <x:c r="C19" s="38" t="n">
        <x:v>46251</x:v>
      </x:c>
      <x:c r="D19" s="22" t="str">
        <x:v>HUBERT</x:v>
      </x:c>
      <x:c r="E19" s="22" t="n">
        <x:v>1</x:v>
      </x:c>
      <x:c r="F19" s="22" t="n">
        <x:v>31</x:v>
      </x:c>
      <x:c r="G19" s="22" t="str">
        <x:v>CONDOMÍNIO SAFIRA</x:v>
      </x:c>
      <x:c r="H19" s="22" t="str">
        <x:v>CONDOMÍNIO SAFIRA</x:v>
      </x:c>
      <x:c r="I19" s="22" t="str">
        <x:v>Confirmado</x:v>
      </x:c>
      <x:c r="J19" s="22" t="str">
        <x:v>ativo</x:v>
      </x:c>
      <x:c r="K19" s="39" t="str">
        <x:v>55.361.065/0001-54</x:v>
      </x:c>
      <x:c r="L19" s="39" t="str">
        <x:v>24-06</x:v>
      </x:c>
      <x:c r="M19" s="39" t="str">
        <x:v>6</x:v>
      </x:c>
      <x:c r="N19" s="38" t="n">
        <x:v>46213</x:v>
      </x:c>
      <x:c r="O19" s="40" t="n">
        <x:v>401.79</x:v>
      </x:c>
      <x:c r="P19" s="22" t="str">
        <x:v>Com acordo</x:v>
      </x:c>
      <x:c r="Q19" s="22" t="str">
        <x:v>Ctt ativo 11 97707-7815 | Acordo com venc 21/08</x:v>
      </x:c>
    </x:row>
    <x:row r="20">
      <x:c r="A20" s="22" t="str">
        <x:v>Cronograma geral</x:v>
      </x:c>
      <x:c r="B20" s="22" t="n">
        <x:v>23</x:v>
      </x:c>
      <x:c r="C20" s="38" t="n">
        <x:v>46251</x:v>
      </x:c>
      <x:c r="D20" s="22" t="str">
        <x:v>HUBERT</x:v>
      </x:c>
      <x:c r="E20" s="22" t="n">
        <x:v>1</x:v>
      </x:c>
      <x:c r="F20" s="22" t="n">
        <x:v>31</x:v>
      </x:c>
      <x:c r="G20" s="22" t="str">
        <x:v>CONDOMÍNIO SAFIRA</x:v>
      </x:c>
      <x:c r="H20" s="22" t="str">
        <x:v>CONDOMÍNIO SAFIRA</x:v>
      </x:c>
      <x:c r="I20" s="22" t="str">
        <x:v>Confirmado</x:v>
      </x:c>
      <x:c r="J20" s="22" t="str">
        <x:v>ativo</x:v>
      </x:c>
      <x:c r="K20" s="39" t="str">
        <x:v>55.361.065/0001-54</x:v>
      </x:c>
      <x:c r="L20" s="39" t="str">
        <x:v>46-06</x:v>
      </x:c>
      <x:c r="M20" s="39" t="str">
        <x:v>6</x:v>
      </x:c>
      <x:c r="N20" s="38" t="n">
        <x:v>46213</x:v>
      </x:c>
      <x:c r="O20" s="40" t="n">
        <x:v>388.86</x:v>
      </x:c>
      <x:c r="P20" s="22" t="str">
        <x:v>Cobrança realizada</x:v>
      </x:c>
      <x:c r="Q20" s="22" t="str">
        <x:v>Cobrança: 11 98724-2596 e e-mail - 20/08</x:v>
      </x:c>
    </x:row>
    <x:row r="21">
      <x:c r="A21" s="22" t="str">
        <x:v>Cronograma geral</x:v>
      </x:c>
      <x:c r="B21" s="22" t="n">
        <x:v>24</x:v>
      </x:c>
      <x:c r="C21" s="38" t="n">
        <x:v>46251</x:v>
      </x:c>
      <x:c r="D21" s="22" t="str">
        <x:v>HUBERT</x:v>
      </x:c>
      <x:c r="E21" s="22" t="n">
        <x:v>1</x:v>
      </x:c>
      <x:c r="F21" s="22" t="n">
        <x:v>31</x:v>
      </x:c>
      <x:c r="G21" s="22" t="str">
        <x:v>CONDOMÍNIO SAFIRA</x:v>
      </x:c>
      <x:c r="H21" s="22" t="str">
        <x:v>CONDOMÍNIO SAFIRA</x:v>
      </x:c>
      <x:c r="I21" s="22" t="str">
        <x:v>Confirmado</x:v>
      </x:c>
      <x:c r="J21" s="22" t="str">
        <x:v>ativo</x:v>
      </x:c>
      <x:c r="K21" s="39" t="str">
        <x:v>55.361.065/0001-54</x:v>
      </x:c>
      <x:c r="L21" s="39" t="str">
        <x:v>52-06</x:v>
      </x:c>
      <x:c r="M21" s="39" t="str">
        <x:v>6</x:v>
      </x:c>
      <x:c r="N21" s="38" t="n">
        <x:v>46213</x:v>
      </x:c>
      <x:c r="O21" s="40" t="n">
        <x:v>240.95</x:v>
      </x:c>
      <x:c r="P21" s="22" t="str">
        <x:v>Cobrança realizada</x:v>
      </x:c>
      <x:c r="Q21" s="22" t="str">
        <x:v>Cobrança: 11 96329-9591e e-mail - 20/08</x:v>
      </x:c>
    </x:row>
    <x:row r="22">
      <x:c r="A22" s="22" t="str">
        <x:v>Cronograma geral</x:v>
      </x:c>
      <x:c r="B22" s="22" t="n">
        <x:v>25</x:v>
      </x:c>
      <x:c r="C22" s="38" t="n">
        <x:v>46251</x:v>
      </x:c>
      <x:c r="D22" s="22" t="str">
        <x:v>HUBERT</x:v>
      </x:c>
      <x:c r="E22" s="22" t="n">
        <x:v>1</x:v>
      </x:c>
      <x:c r="F22" s="22" t="n">
        <x:v>31</x:v>
      </x:c>
      <x:c r="G22" s="22" t="str">
        <x:v>CONDOMÍNIO SAFIRA</x:v>
      </x:c>
      <x:c r="H22" s="22" t="str">
        <x:v>CONDOMÍNIO SAFIRA</x:v>
      </x:c>
      <x:c r="I22" s="22" t="str">
        <x:v>Confirmado</x:v>
      </x:c>
      <x:c r="J22" s="22" t="str">
        <x:v>ativo</x:v>
      </x:c>
      <x:c r="K22" s="39" t="str">
        <x:v>55.361.065/0001-54</x:v>
      </x:c>
      <x:c r="L22" s="39" t="str">
        <x:v>58-06</x:v>
      </x:c>
      <x:c r="M22" s="39" t="str">
        <x:v>6</x:v>
      </x:c>
      <x:c r="N22" s="38" t="n">
        <x:v>46213</x:v>
      </x:c>
      <x:c r="O22" s="40" t="n">
        <x:v>401.79</x:v>
      </x:c>
      <x:c r="P22" s="22" t="str">
        <x:v>Contato ativo</x:v>
      </x:c>
      <x:c r="Q22" s="22" t="str">
        <x:v>Aguardando retorno da administardora referente ao comprovante da cota 07/2026 | Cobrança: 11 98060-9507e e-mail - 20/08 | Contato ativo</x:v>
      </x:c>
    </x:row>
    <x:row r="23">
      <x:c r="A23" s="22" t="str">
        <x:v>Cronograma geral</x:v>
      </x:c>
      <x:c r="B23" s="22" t="n">
        <x:v>26</x:v>
      </x:c>
      <x:c r="C23" s="38" t="n">
        <x:v>46251</x:v>
      </x:c>
      <x:c r="D23" s="22" t="str">
        <x:v>LELLO</x:v>
      </x:c>
      <x:c r="E23" s="22" t="n">
        <x:v>1</x:v>
      </x:c>
      <x:c r="F23" s="22" t="str">
        <x:v>ADV </x:v>
      </x:c>
      <x:c r="G23" s="22" t="str">
        <x:v>CONDOMÍNIO VN TOPAZIO</x:v>
      </x:c>
      <x:c r="H23" s="22" t="str">
        <x:v>VN CASA TOPAZIO</x:v>
      </x:c>
      <x:c r="I23" s="22" t="str">
        <x:v>Confirmado</x:v>
      </x:c>
      <x:c r="J23" s="22" t="str">
        <x:v>ativo</x:v>
      </x:c>
      <x:c r="K23" s="39" t="str">
        <x:v>27.859.053/0001-19</x:v>
      </x:c>
      <x:c r="L23" s="39" t="str">
        <x:v>1108</x:v>
      </x:c>
      <x:c r="M23" s="39" t="str">
        <x:v>0</x:v>
      </x:c>
      <x:c r="N23" s="38" t="n">
        <x:v>46213</x:v>
      </x:c>
      <x:c r="O23" s="40" t="n">
        <x:v>2195.23</x:v>
      </x:c>
      <x:c r="P23" s="22" t="str">
        <x:v>Cobrança realizada</x:v>
      </x:c>
      <x:c r="Q23" s="22" t="str">
        <x:v>Cobrança: 11 94187-1050 e e-mail - 20/08</x:v>
      </x:c>
    </x:row>
    <x:row r="24">
      <x:c r="A24" s="22" t="str">
        <x:v>Cronograma geral</x:v>
      </x:c>
      <x:c r="B24" s="22" t="n">
        <x:v>27</x:v>
      </x:c>
      <x:c r="C24" s="38" t="n">
        <x:v>46251</x:v>
      </x:c>
      <x:c r="D24" s="22" t="str">
        <x:v>LELLO</x:v>
      </x:c>
      <x:c r="E24" s="22" t="n">
        <x:v>1</x:v>
      </x:c>
      <x:c r="F24" s="22" t="str">
        <x:v>ADV </x:v>
      </x:c>
      <x:c r="G24" s="22" t="str">
        <x:v>CONDOMÍNIO VN TOPAZIO</x:v>
      </x:c>
      <x:c r="H24" s="22" t="str">
        <x:v>VN CASA TOPAZIO</x:v>
      </x:c>
      <x:c r="I24" s="22" t="str">
        <x:v>Confirmado</x:v>
      </x:c>
      <x:c r="J24" s="22" t="str">
        <x:v>ativo</x:v>
      </x:c>
      <x:c r="K24" s="39" t="str">
        <x:v>27.859.053/0001-19</x:v>
      </x:c>
      <x:c r="L24" s="39" t="str">
        <x:v>1203</x:v>
      </x:c>
      <x:c r="M24" s="39" t="str">
        <x:v>0</x:v>
      </x:c>
      <x:c r="N24" s="38" t="n">
        <x:v>46213</x:v>
      </x:c>
      <x:c r="O24" s="40" t="n">
        <x:v>1026.77</x:v>
      </x:c>
      <x:c r="P24" s="22" t="str">
        <x:v>Cobrança realizada</x:v>
      </x:c>
      <x:c r="Q24" s="22" t="str">
        <x:v>Cobrança: e-mail - 20/08 | Cobrança: 18 99118-5391 - 25/08</x:v>
      </x:c>
    </x:row>
    <x:row r="25">
      <x:c r="A25" s="22" t="str">
        <x:v>Cronograma geral</x:v>
      </x:c>
      <x:c r="B25" s="22" t="n">
        <x:v>28</x:v>
      </x:c>
      <x:c r="C25" s="38" t="n">
        <x:v>46251</x:v>
      </x:c>
      <x:c r="D25" s="22" t="str">
        <x:v>LELLO</x:v>
      </x:c>
      <x:c r="E25" s="22" t="n">
        <x:v>1</x:v>
      </x:c>
      <x:c r="F25" s="22" t="str">
        <x:v>ADV </x:v>
      </x:c>
      <x:c r="G25" s="22" t="str">
        <x:v>CONDOMÍNIO VN TOPAZIO</x:v>
      </x:c>
      <x:c r="H25" s="22" t="str">
        <x:v>VN CASA TOPAZIO</x:v>
      </x:c>
      <x:c r="I25" s="22" t="str">
        <x:v>Confirmado</x:v>
      </x:c>
      <x:c r="J25" s="22" t="str">
        <x:v>ativo</x:v>
      </x:c>
      <x:c r="K25" s="39" t="str">
        <x:v>27.859.053/0001-19</x:v>
      </x:c>
      <x:c r="L25" s="39" t="str">
        <x:v>1603</x:v>
      </x:c>
      <x:c r="M25" s="39" t="str">
        <x:v>0</x:v>
      </x:c>
      <x:c r="N25" s="38" t="n">
        <x:v>46213</x:v>
      </x:c>
      <x:c r="O25" s="40" t="n">
        <x:v>1026.77</x:v>
      </x:c>
      <x:c r="P25" s="22" t="str">
        <x:v>Cobrança realizada</x:v>
      </x:c>
      <x:c r="Q25" s="22" t="str">
        <x:v>Cobrança: e-mail - 20/08 | Cobrança: 31 8861-5033 - 25/08</x:v>
      </x:c>
    </x:row>
    <x:row r="26">
      <x:c r="A26" s="22" t="str">
        <x:v>Cronograma geral</x:v>
      </x:c>
      <x:c r="B26" s="22" t="n">
        <x:v>29</x:v>
      </x:c>
      <x:c r="C26" s="38" t="n">
        <x:v>46251</x:v>
      </x:c>
      <x:c r="D26" s="22" t="str">
        <x:v>LELLO</x:v>
      </x:c>
      <x:c r="E26" s="22" t="n">
        <x:v>1</x:v>
      </x:c>
      <x:c r="F26" s="22" t="str">
        <x:v>ADV </x:v>
      </x:c>
      <x:c r="G26" s="22" t="str">
        <x:v>CONDOMÍNIO VN TOPAZIO</x:v>
      </x:c>
      <x:c r="H26" s="22" t="str">
        <x:v>VN CASA TOPAZIO</x:v>
      </x:c>
      <x:c r="I26" s="22" t="str">
        <x:v>Confirmado</x:v>
      </x:c>
      <x:c r="J26" s="22" t="str">
        <x:v>ativo</x:v>
      </x:c>
      <x:c r="K26" s="39" t="str">
        <x:v>27.859.053/0001-19</x:v>
      </x:c>
      <x:c r="L26" s="39" t="str">
        <x:v>2004</x:v>
      </x:c>
      <x:c r="M26" s="39" t="str">
        <x:v>0</x:v>
      </x:c>
      <x:c r="N26" s="38" t="n">
        <x:v>46213</x:v>
      </x:c>
      <x:c r="O26" s="40" t="n">
        <x:v>1026.77</x:v>
      </x:c>
      <x:c r="P26" s="22" t="str">
        <x:v>Cobrança realizada</x:v>
      </x:c>
      <x:c r="Q26" s="22" t="str">
        <x:v>Cobrança: e-mail - 20/08 | Cobrança:  11 95397-6673 - 25/08</x:v>
      </x:c>
    </x:row>
    <x:row r="27">
      <x:c r="A27" s="22" t="str">
        <x:v>Cronograma geral</x:v>
      </x:c>
      <x:c r="B27" s="22" t="n">
        <x:v>30</x:v>
      </x:c>
      <x:c r="C27" s="38" t="n">
        <x:v>46251</x:v>
      </x:c>
      <x:c r="D27" s="22" t="str">
        <x:v>HFLEX</x:v>
      </x:c>
      <x:c r="E27" s="22" t="n">
        <x:v>1</x:v>
      </x:c>
      <x:c r="F27" s="22" t="n">
        <x:v>2020</x:v>
      </x:c>
      <x:c r="G27" s="22" t="str">
        <x:v>CONDOMINIO TAMBORÉ</x:v>
      </x:c>
      <x:c r="H27" s="22" t="str">
        <x:v>SUBCONDOMÍNIO EDIFÍCIO OFFICE TAMBORÉ</x:v>
      </x:c>
      <x:c r="I27" s="22" t="str">
        <x:v>Provável</x:v>
      </x:c>
      <x:c r="J27" s="22" t="str">
        <x:v>ativo</x:v>
      </x:c>
      <x:c r="K27" s="39" t="str">
        <x:v>11.772.599/0001-06</x:v>
      </x:c>
      <x:c r="L27" s="39" t="str">
        <x:v>1205</x:v>
      </x:c>
      <x:c r="M27" s="39" t="str">
        <x:v>0</x:v>
      </x:c>
      <x:c r="N27" s="38" t="n">
        <x:v>46213</x:v>
      </x:c>
      <x:c r="O27" s="40" t="n">
        <x:v>1346.91</x:v>
      </x:c>
      <x:c r="P27" s="22" t="str">
        <x:v>Com acordo</x:v>
      </x:c>
      <x:c r="Q27" s="22" t="str">
        <x:v>Cobrança: 11 97066-0520 e e-mail - 19/08 | Acordo com venc 26/08</x:v>
      </x:c>
    </x:row>
    <x:row r="28">
      <x:c r="A28" s="22" t="str">
        <x:v>Cronograma geral</x:v>
      </x:c>
      <x:c r="B28" s="22" t="n">
        <x:v>31</x:v>
      </x:c>
      <x:c r="C28" s="38" t="n">
        <x:v>46251</x:v>
      </x:c>
      <x:c r="D28" s="22" t="str">
        <x:v>HFLEX</x:v>
      </x:c>
      <x:c r="E28" s="22" t="n">
        <x:v>1</x:v>
      </x:c>
      <x:c r="F28" s="22" t="n">
        <x:v>2020</x:v>
      </x:c>
      <x:c r="G28" s="22" t="str">
        <x:v>CONDOMINIO TAMBORÉ</x:v>
      </x:c>
      <x:c r="H28" s="22" t="str">
        <x:v>SUBCONDOMÍNIO EDIFÍCIO OFFICE TAMBORÉ</x:v>
      </x:c>
      <x:c r="I28" s="22" t="str">
        <x:v>Provável</x:v>
      </x:c>
      <x:c r="J28" s="22" t="str">
        <x:v>ativo</x:v>
      </x:c>
      <x:c r="K28" s="39" t="str">
        <x:v>11.772.599/0001-06</x:v>
      </x:c>
      <x:c r="L28" s="39" t="str">
        <x:v>1506</x:v>
      </x:c>
      <x:c r="M28" s="39" t="str">
        <x:v>0</x:v>
      </x:c>
      <x:c r="N28" s="38" t="n">
        <x:v>46213</x:v>
      </x:c>
      <x:c r="O28" s="40" t="n">
        <x:v>1346.91</x:v>
      </x:c>
      <x:c r="P28" s="22" t="str">
        <x:v>Cobrança realizada</x:v>
      </x:c>
      <x:c r="Q28" s="22" t="str">
        <x:v>Cobrança: 11 96845-9212 e e-mail - 19/08</x:v>
      </x:c>
    </x:row>
    <x:row r="29">
      <x:c r="A29" s="22" t="str">
        <x:v>Cronograma geral</x:v>
      </x:c>
      <x:c r="B29" s="22" t="n">
        <x:v>32</x:v>
      </x:c>
      <x:c r="C29" s="38" t="n">
        <x:v>46251</x:v>
      </x:c>
      <x:c r="D29" s="22" t="str">
        <x:v>HFLEX</x:v>
      </x:c>
      <x:c r="E29" s="22" t="n">
        <x:v>1</x:v>
      </x:c>
      <x:c r="F29" s="22" t="n">
        <x:v>2020</x:v>
      </x:c>
      <x:c r="G29" s="22" t="str">
        <x:v>CONDOMINIO TAMBORÉ</x:v>
      </x:c>
      <x:c r="H29" s="22" t="str">
        <x:v>SUBCONDOMÍNIO EDIFÍCIO OFFICE TAMBORÉ</x:v>
      </x:c>
      <x:c r="I29" s="22" t="str">
        <x:v>Provável</x:v>
      </x:c>
      <x:c r="J29" s="22" t="str">
        <x:v>ativo</x:v>
      </x:c>
      <x:c r="K29" s="39" t="str">
        <x:v>11.772.599/0001-06</x:v>
      </x:c>
      <x:c r="L29" s="39" t="str">
        <x:v>1808</x:v>
      </x:c>
      <x:c r="M29" s="39" t="str">
        <x:v>0</x:v>
      </x:c>
      <x:c r="N29" s="38" t="n">
        <x:v>46213</x:v>
      </x:c>
      <x:c r="O29" s="40" t="n">
        <x:v>1346.91</x:v>
      </x:c>
      <x:c r="P29" s="22" t="str">
        <x:v>Com acordo</x:v>
      </x:c>
      <x:c r="Q29" s="22" t="str">
        <x:v>Cobrança: 11 96845-9212 e e-mail - 19/08 | Acordo com venc 26/08</x:v>
      </x:c>
    </x:row>
    <x:row r="30">
      <x:c r="A30" s="22" t="str">
        <x:v>Cronograma geral</x:v>
      </x:c>
      <x:c r="B30" s="22" t="n">
        <x:v>33</x:v>
      </x:c>
      <x:c r="C30" s="38" t="n">
        <x:v>46251</x:v>
      </x:c>
      <x:c r="D30" s="22" t="str">
        <x:v>MANAGER</x:v>
      </x:c>
      <x:c r="E30" s="22" t="n">
        <x:v>1</x:v>
      </x:c>
      <x:c r="F30" s="22" t="n">
        <x:v>844</x:v>
      </x:c>
      <x:c r="G30" s="22" t="str">
        <x:v>COND. BEM MOEMA - RESIDENCIAL</x:v>
      </x:c>
      <x:c r="H30" s="22" t="str">
        <x:v>CONDOMÍNIO BEM MOEMA - SETOR RESIDENCIAL</x:v>
      </x:c>
      <x:c r="I30" s="22" t="str">
        <x:v>Confirmado</x:v>
      </x:c>
      <x:c r="J30" s="22" t="str">
        <x:v>ativo</x:v>
      </x:c>
      <x:c r="K30" s="39" t="str">
        <x:v>63.819.144/0001-94</x:v>
      </x:c>
      <x:c r="L30" s="39" t="str">
        <x:v>71</x:v>
      </x:c>
      <x:c r="M30" s="39" t="str">
        <x:v>0</x:v>
      </x:c>
      <x:c r="N30" s="38" t="n">
        <x:v>46213</x:v>
      </x:c>
      <x:c r="O30" s="40" t="n">
        <x:v>3810.61</x:v>
      </x:c>
      <x:c r="P30" s="22" t="str">
        <x:v>Com acordo</x:v>
      </x:c>
      <x:c r="Q30" s="22" t="str">
        <x:v>Cobrança: 11 96379-9495 e e-mail - 19/08 | Acordo com venc 25/08</x:v>
      </x:c>
    </x:row>
    <x:row r="31">
      <x:c r="A31" s="22" t="str">
        <x:v>Cronograma geral</x:v>
      </x:c>
      <x:c r="B31" s="22" t="n">
        <x:v>34</x:v>
      </x:c>
      <x:c r="C31" s="38" t="n">
        <x:v>46251</x:v>
      </x:c>
      <x:c r="D31" s="22" t="str">
        <x:v>MANAGER</x:v>
      </x:c>
      <x:c r="E31" s="22" t="n">
        <x:v>1</x:v>
      </x:c>
      <x:c r="F31" s="22" t="n">
        <x:v>844</x:v>
      </x:c>
      <x:c r="G31" s="22" t="str">
        <x:v>COND. BEM MOEMA - RESIDENCIAL</x:v>
      </x:c>
      <x:c r="H31" s="22" t="str">
        <x:v>CONDOMÍNIO BEM MOEMA - SETOR RESIDENCIAL</x:v>
      </x:c>
      <x:c r="I31" s="22" t="str">
        <x:v>Confirmado</x:v>
      </x:c>
      <x:c r="J31" s="22" t="str">
        <x:v>ativo</x:v>
      </x:c>
      <x:c r="K31" s="39" t="str">
        <x:v>63.819.144/0001-94</x:v>
      </x:c>
      <x:c r="L31" s="39" t="str">
        <x:v>142</x:v>
      </x:c>
      <x:c r="M31" s="39" t="str">
        <x:v>0</x:v>
      </x:c>
      <x:c r="N31" s="38" t="n">
        <x:v>46101</x:v>
      </x:c>
      <x:c r="O31" s="40" t="n">
        <x:v>301.73</x:v>
      </x:c>
      <x:c r="P31" s="22" t="str">
        <x:v>Cobrança realizada</x:v>
      </x:c>
      <x:c r="Q31" s="22" t="str">
        <x:v>Cobrança: 86 9981-1721 e e-mail - 19/08</x:v>
      </x:c>
    </x:row>
    <x:row r="32">
      <x:c r="A32" s="22" t="str">
        <x:v>Cronograma geral</x:v>
      </x:c>
      <x:c r="B32" s="22" t="n">
        <x:v>36</x:v>
      </x:c>
      <x:c r="C32" s="38" t="n">
        <x:v>46251</x:v>
      </x:c>
      <x:c r="D32" s="22" t="str">
        <x:v>MANAGER</x:v>
      </x:c>
      <x:c r="E32" s="22" t="n">
        <x:v>1</x:v>
      </x:c>
      <x:c r="F32" s="22" t="n">
        <x:v>845</x:v>
      </x:c>
      <x:c r="G32" s="22" t="str">
        <x:v>COND. BEM MOEMA - STUDIOS ...</x:v>
      </x:c>
      <x:c r="H32" s="22" t="str">
        <x:v>CONDOMÍNIO BEM MOEMA - SETOR STUDIOS</x:v>
      </x:c>
      <x:c r="I32" s="22" t="str">
        <x:v>Confirmado</x:v>
      </x:c>
      <x:c r="J32" s="22" t="str">
        <x:v>ativo</x:v>
      </x:c>
      <x:c r="K32" s="39" t="str">
        <x:v>63.819.144/0003-56</x:v>
      </x:c>
      <x:c r="L32" s="39" t="str">
        <x:v>1603</x:v>
      </x:c>
      <x:c r="M32" s="39" t="str">
        <x:v>0</x:v>
      </x:c>
      <x:c r="N32" s="38" t="n">
        <x:v>46213</x:v>
      </x:c>
      <x:c r="O32" s="40" t="n">
        <x:v>828.86</x:v>
      </x:c>
      <x:c r="P32" s="22" t="str">
        <x:v>Cobrança realizada</x:v>
      </x:c>
      <x:c r="Q32" s="22" t="str">
        <x:v>Cobrança: 65 9971-7343 e e-mail - 19/08</x:v>
      </x:c>
    </x:row>
    <x:row r="33">
      <x:c r="A33" s="22" t="str">
        <x:v>Cronograma geral</x:v>
      </x:c>
      <x:c r="B33" s="22" t="n">
        <x:v>37</x:v>
      </x:c>
      <x:c r="C33" s="38" t="n">
        <x:v>46253</x:v>
      </x:c>
      <x:c r="D33" s="22" t="str">
        <x:v>GK</x:v>
      </x:c>
      <x:c r="E33" s="22" t="n">
        <x:v>2</x:v>
      </x:c>
      <x:c r="F33" s="22" t="n">
        <x:v>61</x:v>
      </x:c>
      <x:c r="G33" s="22" t="str">
        <x:v>CONDOMÍNIO LAVANCE MORUMBI</x:v>
      </x:c>
      <x:c r="H33" s="22" t="str">
        <x:v>CONDOMÍNIO EDIFÍCIO L'AVANCE MORUMBI</x:v>
      </x:c>
      <x:c r="I33" s="22" t="str">
        <x:v>Confirmado</x:v>
      </x:c>
      <x:c r="J33" s="22" t="str">
        <x:v>ativo</x:v>
      </x:c>
      <x:c r="K33" s="39" t="str">
        <x:v>07.573.283/0001-00</x:v>
      </x:c>
      <x:c r="L33" s="39" t="str">
        <x:v>114 VE</x:v>
      </x:c>
      <x:c r="M33" s="39" t="str">
        <x:v>VE</x:v>
      </x:c>
      <x:c r="N33" s="38" t="n">
        <x:v>46208</x:v>
      </x:c>
      <x:c r="O33" s="40" t="n">
        <x:v>1441.76</x:v>
      </x:c>
      <x:c r="P33" s="22" t="str">
        <x:v>Sem contato</x:v>
      </x:c>
      <x:c r="Q33" s="22" t="str">
        <x:v>Solicitar contato para o sindico | Cobrança: e-mail - 19/08</x:v>
      </x:c>
    </x:row>
    <x:row r="34">
      <x:c r="A34" s="22" t="str">
        <x:v>Cronograma geral</x:v>
      </x:c>
      <x:c r="B34" s="22" t="n">
        <x:v>38</x:v>
      </x:c>
      <x:c r="C34" s="38" t="n">
        <x:v>46253</x:v>
      </x:c>
      <x:c r="D34" s="22" t="str">
        <x:v>GK</x:v>
      </x:c>
      <x:c r="E34" s="22" t="n">
        <x:v>2</x:v>
      </x:c>
      <x:c r="F34" s="22" t="n">
        <x:v>61</x:v>
      </x:c>
      <x:c r="G34" s="22" t="str">
        <x:v>CONDOMÍNIO LAVANCE MORUMBI</x:v>
      </x:c>
      <x:c r="H34" s="22" t="str">
        <x:v>CONDOMÍNIO EDIFÍCIO L'AVANCE MORUMBI</x:v>
      </x:c>
      <x:c r="I34" s="22" t="str">
        <x:v>Confirmado</x:v>
      </x:c>
      <x:c r="J34" s="22" t="str">
        <x:v>ativo</x:v>
      </x:c>
      <x:c r="K34" s="39" t="str">
        <x:v>07.573.283/0001-00</x:v>
      </x:c>
      <x:c r="L34" s="39" t="str">
        <x:v>22 VE</x:v>
      </x:c>
      <x:c r="M34" s="39" t="str">
        <x:v>VE</x:v>
      </x:c>
      <x:c r="N34" s="38" t="n">
        <x:v>46058</x:v>
      </x:c>
      <x:c r="O34" s="40" t="n">
        <x:v>1936.25</x:v>
      </x:c>
      <x:c r="P34" s="22" t="str">
        <x:v>Sem contato</x:v>
      </x:c>
      <x:c r="Q34" s="22" t="str">
        <x:v>Solicitar contato para o sindico | Cobrança: e-mail - 19/08</x:v>
      </x:c>
    </x:row>
    <x:row r="35">
      <x:c r="A35" s="22" t="str">
        <x:v>Cronograma geral</x:v>
      </x:c>
      <x:c r="B35" s="22" t="n">
        <x:v>39</x:v>
      </x:c>
      <x:c r="C35" s="38" t="n">
        <x:v>46253</x:v>
      </x:c>
      <x:c r="D35" s="22" t="str">
        <x:v>GK</x:v>
      </x:c>
      <x:c r="E35" s="22" t="n">
        <x:v>2</x:v>
      </x:c>
      <x:c r="F35" s="22" t="n">
        <x:v>61</x:v>
      </x:c>
      <x:c r="G35" s="22" t="str">
        <x:v>CONDOMÍNIO LAVANCE MORUMBI</x:v>
      </x:c>
      <x:c r="H35" s="22" t="str">
        <x:v>CONDOMÍNIO EDIFÍCIO L'AVANCE MORUMBI</x:v>
      </x:c>
      <x:c r="I35" s="22" t="str">
        <x:v>Confirmado</x:v>
      </x:c>
      <x:c r="J35" s="22" t="str">
        <x:v>ativo</x:v>
      </x:c>
      <x:c r="K35" s="39" t="str">
        <x:v>07.573.283/0001-00</x:v>
      </x:c>
      <x:c r="L35" s="39" t="str">
        <x:v>84 VE</x:v>
      </x:c>
      <x:c r="M35" s="39" t="str">
        <x:v>VE</x:v>
      </x:c>
      <x:c r="N35" s="38" t="str">
        <x:v>05/05/2026 A 05/08/2026</x:v>
      </x:c>
      <x:c r="O35" s="40" t="n">
        <x:v>6108.44</x:v>
      </x:c>
      <x:c r="P35" s="22" t="str">
        <x:v>Sem contato</x:v>
      </x:c>
      <x:c r="Q35" s="22" t="str">
        <x:v>Solicitar contato para o sindico | Cobrança: e-mail - 19/08</x:v>
      </x:c>
    </x:row>
    <x:row r="36">
      <x:c r="A36" s="22" t="str">
        <x:v>Cronograma geral</x:v>
      </x:c>
      <x:c r="B36" s="22" t="n">
        <x:v>40</x:v>
      </x:c>
      <x:c r="C36" s="38" t="n">
        <x:v>46253</x:v>
      </x:c>
      <x:c r="D36" s="22" t="str">
        <x:v>GK</x:v>
      </x:c>
      <x:c r="E36" s="22" t="n">
        <x:v>2</x:v>
      </x:c>
      <x:c r="F36" s="22" t="n">
        <x:v>61</x:v>
      </x:c>
      <x:c r="G36" s="22" t="str">
        <x:v>CONDOMÍNIO LAVANCE MORUMBI</x:v>
      </x:c>
      <x:c r="H36" s="22" t="str">
        <x:v>CONDOMÍNIO EDIFÍCIO L'AVANCE MORUMBI</x:v>
      </x:c>
      <x:c r="I36" s="22" t="str">
        <x:v>Confirmado</x:v>
      </x:c>
      <x:c r="J36" s="22" t="str">
        <x:v>ativo</x:v>
      </x:c>
      <x:c r="K36" s="39" t="str">
        <x:v>07.573.283/0001-00</x:v>
      </x:c>
      <x:c r="L36" s="39" t="str">
        <x:v>132 VE</x:v>
      </x:c>
      <x:c r="M36" s="39" t="str">
        <x:v>VE</x:v>
      </x:c>
      <x:c r="N36" s="38" t="n">
        <x:v>46178</x:v>
      </x:c>
      <x:c r="O36" s="40" t="n">
        <x:v>2314.76</x:v>
      </x:c>
      <x:c r="P36" s="22" t="str">
        <x:v>Com acordo</x:v>
      </x:c>
      <x:c r="Q36" s="22" t="str">
        <x:v>Cobrança: 11 96562-7931 e e-mail - 19/08 | Acordo com venc 25/08</x:v>
      </x:c>
    </x:row>
    <x:row r="37">
      <x:c r="A37" s="22" t="str">
        <x:v>Cronograma geral</x:v>
      </x:c>
      <x:c r="B37" s="22" t="n">
        <x:v>41</x:v>
      </x:c>
      <x:c r="C37" s="38" t="n">
        <x:v>46253</x:v>
      </x:c>
      <x:c r="D37" s="22" t="str">
        <x:v>SLAVIEIRO</x:v>
      </x:c>
      <x:c r="E37" s="22" t="n">
        <x:v>2</x:v>
      </x:c>
      <x:c r="F37" s="22" t="n">
        <x:v>51</x:v>
      </x:c>
      <x:c r="G37" s="22" t="str">
        <x:v>CONDOMINIO MOEMA FLAT SERVICE</x:v>
      </x:c>
      <x:c r="H37" s="22" t="str">
        <x:v>EDIFÍCIO MOEMA FLAT SERVICE</x:v>
      </x:c>
      <x:c r="I37" s="22" t="str">
        <x:v>Confirmado</x:v>
      </x:c>
      <x:c r="J37" s="22" t="str">
        <x:v>ativo</x:v>
      </x:c>
      <x:c r="K37" s="39" t="str">
        <x:v>04.632.843/0001-61</x:v>
      </x:c>
      <x:c r="L37" s="39" t="str">
        <x:v>205</x:v>
      </x:c>
      <x:c r="M37" s="39" t="str">
        <x:v>0</x:v>
      </x:c>
      <x:c r="N37" s="38" t="n">
        <x:v>46213</x:v>
      </x:c>
      <x:c r="O37" s="40" t="n">
        <x:v>1942.18</x:v>
      </x:c>
      <x:c r="P37" s="22" t="str">
        <x:v>Contato ativo</x:v>
      </x:c>
      <x:c r="Q37" s="22" t="str">
        <x:v>gilberto.carvalho@uol.com.br | Cobrança: 11 99893-6376 e e-mail - 19/08 | Contato ativo</x:v>
      </x:c>
    </x:row>
    <x:row r="38">
      <x:c r="A38" s="22" t="str">
        <x:v>Cronograma geral</x:v>
      </x:c>
      <x:c r="B38" s="22" t="n">
        <x:v>42</x:v>
      </x:c>
      <x:c r="C38" s="38" t="n">
        <x:v>46253</x:v>
      </x:c>
      <x:c r="D38" s="22" t="str">
        <x:v>SLAVIEIRO</x:v>
      </x:c>
      <x:c r="E38" s="22" t="n">
        <x:v>2</x:v>
      </x:c>
      <x:c r="F38" s="22" t="n">
        <x:v>51</x:v>
      </x:c>
      <x:c r="G38" s="22" t="str">
        <x:v>CONDOMINIO MOEMA FLAT SERVICE</x:v>
      </x:c>
      <x:c r="H38" s="22" t="str">
        <x:v>EDIFÍCIO MOEMA FLAT SERVICE</x:v>
      </x:c>
      <x:c r="I38" s="22" t="str">
        <x:v>Confirmado</x:v>
      </x:c>
      <x:c r="J38" s="22" t="str">
        <x:v>ativo</x:v>
      </x:c>
      <x:c r="K38" s="39" t="str">
        <x:v>04.632.843/0001-61</x:v>
      </x:c>
      <x:c r="L38" s="39" t="str">
        <x:v>903</x:v>
      </x:c>
      <x:c r="M38" s="39" t="str">
        <x:v>0</x:v>
      </x:c>
      <x:c r="N38" s="38" t="n">
        <x:v>46213</x:v>
      </x:c>
      <x:c r="O38" s="40" t="n">
        <x:v>1942.18</x:v>
      </x:c>
      <x:c r="P38" s="22" t="str">
        <x:v>Contato ativo</x:v>
      </x:c>
      <x:c r="Q38" s="22" t="str">
        <x:v>11 95254-6191 | Contato ativo</x:v>
      </x:c>
    </x:row>
    <x:row r="39">
      <x:c r="A39" s="22" t="str">
        <x:v>Cronograma geral</x:v>
      </x:c>
      <x:c r="B39" s="22" t="n">
        <x:v>43</x:v>
      </x:c>
      <x:c r="C39" s="38" t="n">
        <x:v>46253</x:v>
      </x:c>
      <x:c r="D39" s="22" t="str">
        <x:v>SLAVIEIRO</x:v>
      </x:c>
      <x:c r="E39" s="22" t="n">
        <x:v>2</x:v>
      </x:c>
      <x:c r="F39" s="22" t="n">
        <x:v>51</x:v>
      </x:c>
      <x:c r="G39" s="22" t="str">
        <x:v>CONDOMINIO MOEMA FLAT SERVICE</x:v>
      </x:c>
      <x:c r="H39" s="22" t="str">
        <x:v>EDIFÍCIO MOEMA FLAT SERVICE</x:v>
      </x:c>
      <x:c r="I39" s="22" t="str">
        <x:v>Confirmado</x:v>
      </x:c>
      <x:c r="J39" s="22" t="str">
        <x:v>ativo</x:v>
      </x:c>
      <x:c r="K39" s="39" t="str">
        <x:v>04.632.843/0001-61</x:v>
      </x:c>
      <x:c r="L39" s="39" t="str">
        <x:v>1102</x:v>
      </x:c>
      <x:c r="M39" s="39" t="str">
        <x:v>0</x:v>
      </x:c>
      <x:c r="N39" s="38" t="n">
        <x:v>46213</x:v>
      </x:c>
      <x:c r="O39" s="40" t="n">
        <x:v>1942.18</x:v>
      </x:c>
      <x:c r="P39" s="22" t="str">
        <x:v>Cobrança realizada</x:v>
      </x:c>
      <x:c r="Q39" s="22" t="str">
        <x:v>Cobrança: 11 99704-4258 e e-mail - 19/08</x:v>
      </x:c>
    </x:row>
    <x:row r="40">
      <x:c r="A40" s="22" t="str">
        <x:v>Cronograma geral</x:v>
      </x:c>
      <x:c r="B40" s="22" t="n">
        <x:v>44</x:v>
      </x:c>
      <x:c r="C40" s="38" t="n">
        <x:v>46253</x:v>
      </x:c>
      <x:c r="D40" s="22" t="str">
        <x:v>HFLEX</x:v>
      </x:c>
      <x:c r="E40" s="22" t="n">
        <x:v>2</x:v>
      </x:c>
      <x:c r="F40" s="22" t="n">
        <x:v>34</x:v>
      </x:c>
      <x:c r="G40" s="22" t="str">
        <x:v>O Parque Torre Cipó</x:v>
      </x:c>
      <x:c r="H40" s="22" t="str">
        <x:v>CONDOMÍNIO O PARQUE TORRE DO CIPÓ</x:v>
      </x:c>
      <x:c r="I40" s="22" t="str">
        <x:v>Provável</x:v>
      </x:c>
      <x:c r="J40" s="22" t="str">
        <x:v>ativo</x:v>
      </x:c>
      <x:c r="K40" s="39" t="str">
        <x:v>52.073.626/0004-74</x:v>
      </x:c>
      <x:c r="L40" s="39" t="str">
        <x:v>53</x:v>
      </x:c>
      <x:c r="M40" s="39" t="str">
        <x:v>0</x:v>
      </x:c>
      <x:c r="N40" s="38" t="n">
        <x:v>46208</x:v>
      </x:c>
      <x:c r="O40" s="40" t="n">
        <x:v>2624.9</x:v>
      </x:c>
      <x:c r="P40" s="22" t="str">
        <x:v>Contato ativo</x:v>
      </x:c>
      <x:c r="Q40" s="22" t="str">
        <x:v>Cobrança: 11 99874-9260 e e-mail - 19/08 | Contato ativo</x:v>
      </x:c>
    </x:row>
    <x:row r="41">
      <x:c r="A41" s="22" t="str">
        <x:v>Cronograma geral</x:v>
      </x:c>
      <x:c r="B41" s="22" t="n">
        <x:v>45</x:v>
      </x:c>
      <x:c r="C41" s="38" t="n">
        <x:v>46253</x:v>
      </x:c>
      <x:c r="D41" s="22" t="str">
        <x:v>HFLEX</x:v>
      </x:c>
      <x:c r="E41" s="22" t="n">
        <x:v>2</x:v>
      </x:c>
      <x:c r="F41" s="22" t="n">
        <x:v>34</x:v>
      </x:c>
      <x:c r="G41" s="22" t="str">
        <x:v>O Parque Torre Cipó</x:v>
      </x:c>
      <x:c r="H41" s="22" t="str">
        <x:v>CONDOMÍNIO O PARQUE TORRE DO CIPÓ</x:v>
      </x:c>
      <x:c r="I41" s="22" t="str">
        <x:v>Provável</x:v>
      </x:c>
      <x:c r="J41" s="22" t="str">
        <x:v>ativo</x:v>
      </x:c>
      <x:c r="K41" s="39" t="str">
        <x:v>52.073.626/0004-74</x:v>
      </x:c>
      <x:c r="L41" s="39" t="str">
        <x:v>111</x:v>
      </x:c>
      <x:c r="M41" s="39" t="str">
        <x:v>0</x:v>
      </x:c>
      <x:c r="N41" s="38" t="n">
        <x:v>46208</x:v>
      </x:c>
      <x:c r="O41" s="40" t="n">
        <x:v>2450.83</x:v>
      </x:c>
      <x:c r="P41" s="22" t="str">
        <x:v>Sem contato</x:v>
      </x:c>
      <x:c r="Q41" s="22" t="str">
        <x:v>Achar ctt | Cobrança: e-mail - 19/08</x:v>
      </x:c>
    </x:row>
    <x:row r="42">
      <x:c r="A42" s="22" t="str">
        <x:v>Cronograma geral</x:v>
      </x:c>
      <x:c r="B42" s="22" t="n">
        <x:v>46</x:v>
      </x:c>
      <x:c r="C42" s="38" t="n">
        <x:v>46253</x:v>
      </x:c>
      <x:c r="D42" s="22" t="str">
        <x:v>HFLEX</x:v>
      </x:c>
      <x:c r="E42" s="22" t="n">
        <x:v>2</x:v>
      </x:c>
      <x:c r="F42" s="22" t="n">
        <x:v>34</x:v>
      </x:c>
      <x:c r="G42" s="22" t="str">
        <x:v>O Parque Torre Cipó</x:v>
      </x:c>
      <x:c r="H42" s="22" t="str">
        <x:v>CONDOMÍNIO O PARQUE TORRE DO CIPÓ</x:v>
      </x:c>
      <x:c r="I42" s="22" t="str">
        <x:v>Provável</x:v>
      </x:c>
      <x:c r="J42" s="22" t="str">
        <x:v>ativo</x:v>
      </x:c>
      <x:c r="K42" s="39" t="str">
        <x:v>52.073.626/0004-74</x:v>
      </x:c>
      <x:c r="L42" s="39" t="str">
        <x:v>153</x:v>
      </x:c>
      <x:c r="M42" s="39" t="str">
        <x:v>0</x:v>
      </x:c>
      <x:c r="N42" s="38" t="n">
        <x:v>46208</x:v>
      </x:c>
      <x:c r="O42" s="40" t="n">
        <x:v>2893.7</x:v>
      </x:c>
      <x:c r="P42" s="22" t="str">
        <x:v>Cobrança realizada</x:v>
      </x:c>
      <x:c r="Q42" s="22" t="str">
        <x:v>Cobrança:  69 9994-1570 e e-mail - 19/08</x:v>
      </x:c>
    </x:row>
    <x:row r="43">
      <x:c r="A43" s="22" t="str">
        <x:v>Camila</x:v>
      </x:c>
      <x:c r="B43" s="22" t="n">
        <x:v>2</x:v>
      </x:c>
      <x:c r="C43" s="38" t="n">
        <x:v>46245</x:v>
      </x:c>
      <x:c r="D43" s="22" t="str">
        <x:v>BBZ</x:v>
      </x:c>
      <x:c r="E43" s="22" t="n">
        <x:v>1</x:v>
      </x:c>
      <x:c r="F43" s="22" t="n">
        <x:v>14</x:v>
      </x:c>
      <x:c r="G43" s="22" t="str">
        <x:v>CONDOMINIO HARMONIA 1040 - ESCRITÓRIOS</x:v>
      </x:c>
      <x:c r="H43" s="22" t="str">
        <x:v>CONDOMÍNIO HARMONIA 1040 - ESCRITÓRIOS</x:v>
      </x:c>
      <x:c r="I43" s="22" t="str">
        <x:v>Confirmado</x:v>
      </x:c>
      <x:c r="J43" s="22" t="str">
        <x:v>ativo</x:v>
      </x:c>
      <x:c r="K43" s="39" t="str">
        <x:v>52.389.637/0004-68</x:v>
      </x:c>
      <x:c r="L43" s="39" t="str">
        <x:v>24</x:v>
      </x:c>
      <x:c r="M43" s="39" t="str">
        <x:v>0</x:v>
      </x:c>
      <x:c r="N43" s="38" t="n">
        <x:v>46174</x:v>
      </x:c>
      <x:c r="O43" s="40" t="n">
        <x:v>1023.53</x:v>
      </x:c>
      <x:c r="P43" s="22" t="str">
        <x:v>Sem andamento registrado</x:v>
      </x:c>
      <x:c r="Q43" s="22" t="str"/>
    </x:row>
    <x:row r="44">
      <x:c r="A44" s="22" t="str">
        <x:v>Camila</x:v>
      </x:c>
      <x:c r="B44" s="22" t="n">
        <x:v>3</x:v>
      </x:c>
      <x:c r="C44" s="38" t="n">
        <x:v>46245</x:v>
      </x:c>
      <x:c r="D44" s="22" t="str">
        <x:v>HUBERT</x:v>
      </x:c>
      <x:c r="E44" s="22" t="n">
        <x:v>1</x:v>
      </x:c>
      <x:c r="F44" s="22" t="n">
        <x:v>2751</x:v>
      </x:c>
      <x:c r="G44" s="22" t="str">
        <x:v>CONDOMINIO VILA NATURA</x:v>
      </x:c>
      <x:c r="H44" s="22" t="str">
        <x:v>CONDOMÍNIO VILLA NATURA</x:v>
      </x:c>
      <x:c r="I44" s="22" t="str">
        <x:v>Confirmado</x:v>
      </x:c>
      <x:c r="J44" s="22" t="str">
        <x:v>ativo</x:v>
      </x:c>
      <x:c r="K44" s="39" t="str">
        <x:v>07.964.226/0001-51</x:v>
      </x:c>
      <x:c r="L44" s="39" t="str">
        <x:v>12 B</x:v>
      </x:c>
      <x:c r="M44" s="39" t="str">
        <x:v>B</x:v>
      </x:c>
      <x:c r="N44" s="38" t="n">
        <x:v>46208</x:v>
      </x:c>
      <x:c r="O44" s="40"/>
      <x:c r="P44" s="22" t="str">
        <x:v>Com acordo</x:v>
      </x:c>
      <x:c r="Q44" s="22" t="str">
        <x:v>Cobrança realizada dia 19/08 por email por whatsapp | a administradora realizou o acordo.</x:v>
      </x:c>
    </x:row>
    <x:row r="45">
      <x:c r="A45" s="22" t="str">
        <x:v>Camila</x:v>
      </x:c>
      <x:c r="B45" s="22" t="n">
        <x:v>4</x:v>
      </x:c>
      <x:c r="C45" s="38" t="n">
        <x:v>46245</x:v>
      </x:c>
      <x:c r="D45" s="22" t="str">
        <x:v>HUBERT</x:v>
      </x:c>
      <x:c r="E45" s="22" t="n">
        <x:v>1</x:v>
      </x:c>
      <x:c r="F45" s="22" t="n">
        <x:v>2751</x:v>
      </x:c>
      <x:c r="G45" s="22" t="str">
        <x:v>CONDOMINIO VILA NATURA</x:v>
      </x:c>
      <x:c r="H45" s="22" t="str">
        <x:v>CONDOMÍNIO VILLA NATURA</x:v>
      </x:c>
      <x:c r="I45" s="22" t="str">
        <x:v>Confirmado</x:v>
      </x:c>
      <x:c r="J45" s="22" t="str">
        <x:v>ativo</x:v>
      </x:c>
      <x:c r="K45" s="39" t="str">
        <x:v>07.964.226/0001-51</x:v>
      </x:c>
      <x:c r="L45" s="39" t="str">
        <x:v>192 B</x:v>
      </x:c>
      <x:c r="M45" s="39" t="str">
        <x:v>B</x:v>
      </x:c>
      <x:c r="N45" s="38" t="n">
        <x:v>46208</x:v>
      </x:c>
      <x:c r="O45" s="40" t="n">
        <x:v>4032.85</x:v>
      </x:c>
      <x:c r="P45" s="22" t="str">
        <x:v>Cobrança realizada</x:v>
      </x:c>
      <x:c r="Q45" s="22" t="str">
        <x:v>Cobrança realizada dia 19/08 por email e por whatsapp</x:v>
      </x:c>
    </x:row>
    <x:row r="46">
      <x:c r="A46" s="22" t="str">
        <x:v>Camila</x:v>
      </x:c>
      <x:c r="B46" s="22" t="n">
        <x:v>5</x:v>
      </x:c>
      <x:c r="C46" s="38" t="n">
        <x:v>46245</x:v>
      </x:c>
      <x:c r="D46" s="22" t="str">
        <x:v>HUBERT</x:v>
      </x:c>
      <x:c r="E46" s="22" t="n">
        <x:v>1</x:v>
      </x:c>
      <x:c r="F46" s="22" t="n">
        <x:v>2751</x:v>
      </x:c>
      <x:c r="G46" s="22" t="str">
        <x:v>CONDOMINIO VILA NATURA</x:v>
      </x:c>
      <x:c r="H46" s="22" t="str">
        <x:v>CONDOMÍNIO VILLA NATURA</x:v>
      </x:c>
      <x:c r="I46" s="22" t="str">
        <x:v>Confirmado</x:v>
      </x:c>
      <x:c r="J46" s="22" t="str">
        <x:v>ativo</x:v>
      </x:c>
      <x:c r="K46" s="39" t="str">
        <x:v>07.964.226/0001-51</x:v>
      </x:c>
      <x:c r="L46" s="39" t="str">
        <x:v>22 C</x:v>
      </x:c>
      <x:c r="M46" s="39" t="str">
        <x:v>C</x:v>
      </x:c>
      <x:c r="N46" s="38" t="n">
        <x:v>46208</x:v>
      </x:c>
      <x:c r="O46" s="40" t="n">
        <x:v>3894.16</x:v>
      </x:c>
      <x:c r="P46" s="22" t="str">
        <x:v>Com acordo</x:v>
      </x:c>
      <x:c r="Q46" s="22" t="str">
        <x:v>Acordo realizado dia 18/08 referente a cota de 07/26 e enviado para o email Marcia.manile@hotmail.com com o vencimento parao dia 20/08</x:v>
      </x:c>
    </x:row>
    <x:row r="47">
      <x:c r="A47" s="22" t="str">
        <x:v>Camila</x:v>
      </x:c>
      <x:c r="B47" s="22" t="n">
        <x:v>6</x:v>
      </x:c>
      <x:c r="C47" s="38" t="n">
        <x:v>46245</x:v>
      </x:c>
      <x:c r="D47" s="22" t="str">
        <x:v>HUBERT</x:v>
      </x:c>
      <x:c r="E47" s="22" t="n">
        <x:v>1</x:v>
      </x:c>
      <x:c r="F47" s="22" t="n">
        <x:v>2751</x:v>
      </x:c>
      <x:c r="G47" s="22" t="str">
        <x:v>CONDOMINIO VILA NATURA</x:v>
      </x:c>
      <x:c r="H47" s="22" t="str">
        <x:v>CONDOMÍNIO VILLA NATURA</x:v>
      </x:c>
      <x:c r="I47" s="22" t="str">
        <x:v>Confirmado</x:v>
      </x:c>
      <x:c r="J47" s="22" t="str">
        <x:v>ativo</x:v>
      </x:c>
      <x:c r="K47" s="39" t="str">
        <x:v>07.964.226/0001-51</x:v>
      </x:c>
      <x:c r="L47" s="39" t="str">
        <x:v>91 C</x:v>
      </x:c>
      <x:c r="M47" s="39" t="str">
        <x:v>C</x:v>
      </x:c>
      <x:c r="N47" s="38" t="n">
        <x:v>46208</x:v>
      </x:c>
      <x:c r="O47" s="40" t="n">
        <x:v>4350.45</x:v>
      </x:c>
      <x:c r="P47" s="22" t="str">
        <x:v>Cobrança realizada</x:v>
      </x:c>
      <x:c r="Q47" s="22" t="str">
        <x:v>Cobrança realizada dia 19/08 por email</x:v>
      </x:c>
    </x:row>
    <x:row r="48">
      <x:c r="A48" s="22" t="str">
        <x:v>Camila</x:v>
      </x:c>
      <x:c r="B48" s="22" t="n">
        <x:v>7</x:v>
      </x:c>
      <x:c r="C48" s="38" t="n">
        <x:v>46245</x:v>
      </x:c>
      <x:c r="D48" s="22" t="str">
        <x:v>HUBERT</x:v>
      </x:c>
      <x:c r="E48" s="22" t="n">
        <x:v>1</x:v>
      </x:c>
      <x:c r="F48" s="22" t="n">
        <x:v>2751</x:v>
      </x:c>
      <x:c r="G48" s="22" t="str">
        <x:v>CONDOMINIO VILA NATURA</x:v>
      </x:c>
      <x:c r="H48" s="22" t="str">
        <x:v>CONDOMÍNIO VILLA NATURA</x:v>
      </x:c>
      <x:c r="I48" s="22" t="str">
        <x:v>Confirmado</x:v>
      </x:c>
      <x:c r="J48" s="22" t="str">
        <x:v>ativo</x:v>
      </x:c>
      <x:c r="K48" s="39" t="str">
        <x:v>07.964.226/0001-51</x:v>
      </x:c>
      <x:c r="L48" s="39" t="str">
        <x:v>92 C</x:v>
      </x:c>
      <x:c r="M48" s="39" t="str">
        <x:v>C</x:v>
      </x:c>
      <x:c r="N48" s="38" t="n">
        <x:v>46208</x:v>
      </x:c>
      <x:c r="O48" s="40" t="n">
        <x:v>5640.61</x:v>
      </x:c>
      <x:c r="P48" s="22" t="str">
        <x:v>Cobrança realizada</x:v>
      </x:c>
      <x:c r="Q48" s="22" t="str">
        <x:v>Cobrança realizada dia 19/08 por email</x:v>
      </x:c>
    </x:row>
    <x:row r="49">
      <x:c r="A49" s="22" t="str">
        <x:v>Camila</x:v>
      </x:c>
      <x:c r="B49" s="22" t="n">
        <x:v>9</x:v>
      </x:c>
      <x:c r="C49" s="38" t="n">
        <x:v>46245</x:v>
      </x:c>
      <x:c r="D49" s="22" t="str">
        <x:v>HUBERT</x:v>
      </x:c>
      <x:c r="E49" s="22" t="n">
        <x:v>1</x:v>
      </x:c>
      <x:c r="F49" s="22" t="n">
        <x:v>2751</x:v>
      </x:c>
      <x:c r="G49" s="22" t="str">
        <x:v>CONDOMINIO VILA NATURA</x:v>
      </x:c>
      <x:c r="H49" s="22" t="str">
        <x:v>CONDOMÍNIO VILLA NATURA</x:v>
      </x:c>
      <x:c r="I49" s="22" t="str">
        <x:v>Confirmado</x:v>
      </x:c>
      <x:c r="J49" s="22" t="str">
        <x:v>ativo</x:v>
      </x:c>
      <x:c r="K49" s="39" t="str">
        <x:v>07.964.226/0001-51</x:v>
      </x:c>
      <x:c r="L49" s="39" t="str">
        <x:v>VG0427</x:v>
      </x:c>
      <x:c r="M49" s="39" t="str">
        <x:v>VG</x:v>
      </x:c>
      <x:c r="N49" s="38" t="n">
        <x:v>46208</x:v>
      </x:c>
      <x:c r="O49" s="40" t="n">
        <x:v>87.62</x:v>
      </x:c>
      <x:c r="P49" s="22" t="str">
        <x:v>Sem andamento registrado</x:v>
      </x:c>
      <x:c r="Q49" s="22" t="str"/>
    </x:row>
    <x:row r="50">
      <x:c r="A50" s="22" t="str">
        <x:v>Camila</x:v>
      </x:c>
      <x:c r="B50" s="22" t="n">
        <x:v>10</x:v>
      </x:c>
      <x:c r="C50" s="38" t="n">
        <x:v>46248</x:v>
      </x:c>
      <x:c r="D50" s="22" t="str">
        <x:v>BBZ</x:v>
      </x:c>
      <x:c r="E50" s="22" t="n">
        <x:v>2</x:v>
      </x:c>
      <x:c r="F50" s="22" t="n">
        <x:v>20</x:v>
      </x:c>
      <x:c r="G50" s="22" t="str">
        <x:v>CONDOMINIO Elo &amp; Elo Duo Caminhos da Lapa - Setor 3 - Residencial (Torre B - Elo Caminhos da Lapa);</x:v>
      </x:c>
      <x:c r="H50" s="22" t="str">
        <x:v>CONDOMÍNIO ELO &amp; ELO DUO CAMINHOS DA LAPA SETOR 3 RESIDENCIAL TORRE B</x:v>
      </x:c>
      <x:c r="I50" s="22" t="str">
        <x:v>Confirmado</x:v>
      </x:c>
      <x:c r="J50" s="22" t="str">
        <x:v>ativo</x:v>
      </x:c>
      <x:c r="K50" s="39" t="str">
        <x:v>54.405.702/0003-46</x:v>
      </x:c>
      <x:c r="L50" s="39" t="str">
        <x:v>2711 B</x:v>
      </x:c>
      <x:c r="M50" s="39" t="str">
        <x:v>B</x:v>
      </x:c>
      <x:c r="N50" s="38" t="n">
        <x:v>46213</x:v>
      </x:c>
      <x:c r="O50" s="40" t="n">
        <x:v>694.32</x:v>
      </x:c>
      <x:c r="P50" s="22" t="str">
        <x:v>Sem andamento registrado</x:v>
      </x:c>
      <x:c r="Q50" s="22" t="str"/>
    </x:row>
    <x:row r="51">
      <x:c r="A51" s="22" t="str">
        <x:v>Camila</x:v>
      </x:c>
      <x:c r="B51" s="22" t="n">
        <x:v>11</x:v>
      </x:c>
      <x:c r="C51" s="38" t="n">
        <x:v>46248</x:v>
      </x:c>
      <x:c r="D51" s="22" t="str">
        <x:v>BBZ</x:v>
      </x:c>
      <x:c r="E51" s="22" t="n">
        <x:v>2</x:v>
      </x:c>
      <x:c r="F51" s="22" t="n">
        <x:v>20</x:v>
      </x:c>
      <x:c r="G51" s="22" t="str">
        <x:v>CONDOMINIO Elo &amp; Elo Duo Caminhos da Lapa - Setor 3 - Residencial (Torre B - Elo Caminhos da Lapa);</x:v>
      </x:c>
      <x:c r="H51" s="22" t="str">
        <x:v>CONDOMÍNIO ELO &amp; ELO DUO CAMINHOS DA LAPA SETOR 3 RESIDENCIAL TORRE B</x:v>
      </x:c>
      <x:c r="I51" s="22" t="str">
        <x:v>Confirmado</x:v>
      </x:c>
      <x:c r="J51" s="22" t="str">
        <x:v>ativo</x:v>
      </x:c>
      <x:c r="K51" s="39" t="str">
        <x:v>54.405.702/0003-46</x:v>
      </x:c>
      <x:c r="L51" s="39" t="str">
        <x:v>3307 B</x:v>
      </x:c>
      <x:c r="M51" s="39" t="str">
        <x:v>B</x:v>
      </x:c>
      <x:c r="N51" s="38" t="n">
        <x:v>46213</x:v>
      </x:c>
      <x:c r="O51" s="40" t="n">
        <x:v>799.62</x:v>
      </x:c>
      <x:c r="P51" s="22" t="str">
        <x:v>Sem andamento registrado</x:v>
      </x:c>
      <x:c r="Q51" s="22" t="str"/>
    </x:row>
    <x:row r="52">
      <x:c r="A52" s="22" t="str">
        <x:v>Camila</x:v>
      </x:c>
      <x:c r="B52" s="22" t="n">
        <x:v>12</x:v>
      </x:c>
      <x:c r="C52" s="38" t="n">
        <x:v>46248</x:v>
      </x:c>
      <x:c r="D52" s="22" t="str">
        <x:v>BBZ</x:v>
      </x:c>
      <x:c r="E52" s="22" t="n">
        <x:v>2</x:v>
      </x:c>
      <x:c r="F52" s="22" t="n">
        <x:v>10</x:v>
      </x:c>
      <x:c r="G52" s="22" t="str">
        <x:v>CONDOMINIO EDIFICIO ESTAÇÃO GABRIELE</x:v>
      </x:c>
      <x:c r="H52" s="22" t="str">
        <x:v>CONDOMÍNIO EDIFÍCIO ESTAÇÃO GABRIELE</x:v>
      </x:c>
      <x:c r="I52" s="22" t="str">
        <x:v>Confirmado</x:v>
      </x:c>
      <x:c r="J52" s="22" t="str">
        <x:v>ativo</x:v>
      </x:c>
      <x:c r="K52" s="39" t="str">
        <x:v>29.050.207/0001-52</x:v>
      </x:c>
      <x:c r="L52" s="39" t="str">
        <x:v>46 A</x:v>
      </x:c>
      <x:c r="M52" s="39" t="str">
        <x:v>A</x:v>
      </x:c>
      <x:c r="N52" s="38" t="n">
        <x:v>46213</x:v>
      </x:c>
      <x:c r="O52" s="40" t="n">
        <x:v>644.79</x:v>
      </x:c>
      <x:c r="P52" s="22" t="str">
        <x:v>Sem andamento registrado</x:v>
      </x:c>
      <x:c r="Q52" s="22" t="str"/>
    </x:row>
    <x:row r="53">
      <x:c r="A53" s="22" t="str">
        <x:v>Camila</x:v>
      </x:c>
      <x:c r="B53" s="22" t="n">
        <x:v>13</x:v>
      </x:c>
      <x:c r="C53" s="38" t="n">
        <x:v>46248</x:v>
      </x:c>
      <x:c r="D53" s="22" t="str">
        <x:v>BBZ</x:v>
      </x:c>
      <x:c r="E53" s="22" t="n">
        <x:v>2</x:v>
      </x:c>
      <x:c r="F53" s="22" t="n">
        <x:v>10</x:v>
      </x:c>
      <x:c r="G53" s="22" t="str">
        <x:v>CONDOMINIO EDIFICIO ESTAÇÃO GABRIELE</x:v>
      </x:c>
      <x:c r="H53" s="22" t="str">
        <x:v>CONDOMÍNIO EDIFÍCIO ESTAÇÃO GABRIELE</x:v>
      </x:c>
      <x:c r="I53" s="22" t="str">
        <x:v>Confirmado</x:v>
      </x:c>
      <x:c r="J53" s="22" t="str">
        <x:v>ativo</x:v>
      </x:c>
      <x:c r="K53" s="39" t="str">
        <x:v>29.050.207/0001-52</x:v>
      </x:c>
      <x:c r="L53" s="39" t="str">
        <x:v>85 A</x:v>
      </x:c>
      <x:c r="M53" s="39" t="str">
        <x:v>A</x:v>
      </x:c>
      <x:c r="N53" s="38" t="n">
        <x:v>46213</x:v>
      </x:c>
      <x:c r="O53" s="40" t="n">
        <x:v>690.59</x:v>
      </x:c>
      <x:c r="P53" s="22" t="str">
        <x:v>Sem andamento registrado</x:v>
      </x:c>
      <x:c r="Q53" s="22" t="str"/>
    </x:row>
    <x:row r="54">
      <x:c r="A54" s="22" t="str">
        <x:v>Camila</x:v>
      </x:c>
      <x:c r="B54" s="22" t="n">
        <x:v>14</x:v>
      </x:c>
      <x:c r="C54" s="38" t="n">
        <x:v>46248</x:v>
      </x:c>
      <x:c r="D54" s="22" t="str">
        <x:v>BBZ</x:v>
      </x:c>
      <x:c r="E54" s="22" t="n">
        <x:v>2</x:v>
      </x:c>
      <x:c r="F54" s="22" t="n">
        <x:v>10</x:v>
      </x:c>
      <x:c r="G54" s="22" t="str">
        <x:v>CONDOMINIO EDIFICIO ESTAÇÃO GABRIELE</x:v>
      </x:c>
      <x:c r="H54" s="22" t="str">
        <x:v>CONDOMÍNIO EDIFÍCIO ESTAÇÃO GABRIELE</x:v>
      </x:c>
      <x:c r="I54" s="22" t="str">
        <x:v>Confirmado</x:v>
      </x:c>
      <x:c r="J54" s="22" t="str">
        <x:v>ativo</x:v>
      </x:c>
      <x:c r="K54" s="39" t="str">
        <x:v>29.050.207/0001-52</x:v>
      </x:c>
      <x:c r="L54" s="39" t="str">
        <x:v>152 A</x:v>
      </x:c>
      <x:c r="M54" s="39" t="str">
        <x:v>A</x:v>
      </x:c>
      <x:c r="N54" s="38" t="n">
        <x:v>46213</x:v>
      </x:c>
      <x:c r="O54" s="40" t="n">
        <x:v>1067.38</x:v>
      </x:c>
      <x:c r="P54" s="22" t="str">
        <x:v>Sem andamento registrado</x:v>
      </x:c>
      <x:c r="Q54" s="22" t="str"/>
    </x:row>
    <x:row r="55">
      <x:c r="A55" s="22" t="str">
        <x:v>Camila</x:v>
      </x:c>
      <x:c r="B55" s="22" t="n">
        <x:v>15</x:v>
      </x:c>
      <x:c r="C55" s="38" t="n">
        <x:v>46248</x:v>
      </x:c>
      <x:c r="D55" s="22" t="str">
        <x:v>BBZ</x:v>
      </x:c>
      <x:c r="E55" s="22" t="n">
        <x:v>2</x:v>
      </x:c>
      <x:c r="F55" s="22" t="n">
        <x:v>10</x:v>
      </x:c>
      <x:c r="G55" s="22" t="str">
        <x:v>CONDOMINIO EDIFICIO ESTAÇÃO GABRIELE</x:v>
      </x:c>
      <x:c r="H55" s="22" t="str">
        <x:v>CONDOMÍNIO EDIFÍCIO ESTAÇÃO GABRIELE</x:v>
      </x:c>
      <x:c r="I55" s="22" t="str">
        <x:v>Confirmado</x:v>
      </x:c>
      <x:c r="J55" s="22" t="str">
        <x:v>ativo</x:v>
      </x:c>
      <x:c r="K55" s="39" t="str">
        <x:v>29.050.207/0001-52</x:v>
      </x:c>
      <x:c r="L55" s="39" t="str">
        <x:v>265 A</x:v>
      </x:c>
      <x:c r="M55" s="39" t="str">
        <x:v>A</x:v>
      </x:c>
      <x:c r="N55" s="38" t="n">
        <x:v>46213</x:v>
      </x:c>
      <x:c r="O55" s="40" t="n">
        <x:v>690.59</x:v>
      </x:c>
      <x:c r="P55" s="22" t="str">
        <x:v>Sem andamento registrado</x:v>
      </x:c>
      <x:c r="Q55" s="22" t="str"/>
    </x:row>
    <x:row r="56">
      <x:c r="A56" s="22" t="str">
        <x:v>Camila</x:v>
      </x:c>
      <x:c r="B56" s="22" t="n">
        <x:v>16</x:v>
      </x:c>
      <x:c r="C56" s="38" t="n">
        <x:v>46248</x:v>
      </x:c>
      <x:c r="D56" s="22" t="str">
        <x:v>BBZ</x:v>
      </x:c>
      <x:c r="E56" s="22" t="n">
        <x:v>2</x:v>
      </x:c>
      <x:c r="F56" s="22" t="n">
        <x:v>10</x:v>
      </x:c>
      <x:c r="G56" s="22" t="str">
        <x:v>CONDOMINIO EDIFICIO ESTAÇÃO GABRIELE</x:v>
      </x:c>
      <x:c r="H56" s="22" t="str">
        <x:v>CONDOMÍNIO EDIFÍCIO ESTAÇÃO GABRIELE</x:v>
      </x:c>
      <x:c r="I56" s="22" t="str">
        <x:v>Confirmado</x:v>
      </x:c>
      <x:c r="J56" s="22" t="str">
        <x:v>ativo</x:v>
      </x:c>
      <x:c r="K56" s="39" t="str">
        <x:v>29.050.207/0001-52</x:v>
      </x:c>
      <x:c r="L56" s="39" t="str">
        <x:v>267 A</x:v>
      </x:c>
      <x:c r="M56" s="39" t="str">
        <x:v>A</x:v>
      </x:c>
      <x:c r="N56" s="38" t="n">
        <x:v>46213</x:v>
      </x:c>
      <x:c r="O56" s="40" t="n">
        <x:v>1185.15</x:v>
      </x:c>
      <x:c r="P56" s="22" t="str">
        <x:v>Cobrança realizada</x:v>
      </x:c>
      <x:c r="Q56" s="22" t="str">
        <x:v>Cobrança realizada dia 20/08 por email e por whatsapp</x:v>
      </x:c>
    </x:row>
    <x:row r="57">
      <x:c r="A57" s="22" t="str">
        <x:v>Camila</x:v>
      </x:c>
      <x:c r="B57" s="22" t="n">
        <x:v>17</x:v>
      </x:c>
      <x:c r="C57" s="38" t="n">
        <x:v>46248</x:v>
      </x:c>
      <x:c r="D57" s="22" t="str">
        <x:v>BBZ</x:v>
      </x:c>
      <x:c r="E57" s="22" t="n">
        <x:v>2</x:v>
      </x:c>
      <x:c r="F57" s="22" t="n">
        <x:v>10</x:v>
      </x:c>
      <x:c r="G57" s="22" t="str">
        <x:v>CONDOMINIO EDIFICIO ESTAÇÃO GABRIELE</x:v>
      </x:c>
      <x:c r="H57" s="22" t="str">
        <x:v>CONDOMÍNIO EDIFÍCIO ESTAÇÃO GABRIELE</x:v>
      </x:c>
      <x:c r="I57" s="22" t="str">
        <x:v>Confirmado</x:v>
      </x:c>
      <x:c r="J57" s="22" t="str">
        <x:v>ativo</x:v>
      </x:c>
      <x:c r="K57" s="39" t="str">
        <x:v>29.050.207/0001-52</x:v>
      </x:c>
      <x:c r="L57" s="39" t="str">
        <x:v>86 B</x:v>
      </x:c>
      <x:c r="M57" s="39" t="str">
        <x:v>B</x:v>
      </x:c>
      <x:c r="N57" s="38" t="n">
        <x:v>46213</x:v>
      </x:c>
      <x:c r="O57" s="40" t="n">
        <x:v>610.18</x:v>
      </x:c>
      <x:c r="P57" s="22" t="str">
        <x:v>Sem andamento registrado</x:v>
      </x:c>
      <x:c r="Q57" s="22" t="str"/>
    </x:row>
    <x:row r="58">
      <x:c r="A58" s="22" t="str">
        <x:v>Camila</x:v>
      </x:c>
      <x:c r="B58" s="22" t="n">
        <x:v>18</x:v>
      </x:c>
      <x:c r="C58" s="38" t="n">
        <x:v>46248</x:v>
      </x:c>
      <x:c r="D58" s="22" t="str">
        <x:v>BBZ</x:v>
      </x:c>
      <x:c r="E58" s="22" t="n">
        <x:v>2</x:v>
      </x:c>
      <x:c r="F58" s="22" t="n">
        <x:v>10</x:v>
      </x:c>
      <x:c r="G58" s="22" t="str">
        <x:v>CONDOMINIO EDIFICIO ESTAÇÃO GABRIELE</x:v>
      </x:c>
      <x:c r="H58" s="22" t="str">
        <x:v>CONDOMÍNIO EDIFÍCIO ESTAÇÃO GABRIELE</x:v>
      </x:c>
      <x:c r="I58" s="22" t="str">
        <x:v>Confirmado</x:v>
      </x:c>
      <x:c r="J58" s="22" t="str">
        <x:v>ativo</x:v>
      </x:c>
      <x:c r="K58" s="39" t="str">
        <x:v>29.050.207/0001-52</x:v>
      </x:c>
      <x:c r="L58" s="39" t="str">
        <x:v>192 B</x:v>
      </x:c>
      <x:c r="M58" s="39" t="str">
        <x:v>B</x:v>
      </x:c>
      <x:c r="N58" s="38" t="n">
        <x:v>46213</x:v>
      </x:c>
      <x:c r="O58" s="40" t="n">
        <x:v>610.18</x:v>
      </x:c>
      <x:c r="P58" s="22" t="str">
        <x:v>Com acordo</x:v>
      </x:c>
      <x:c r="Q58" s="22" t="str">
        <x:v>Acordo realizado dia 20/08 referente a cota de 07/26 e enviado para o email tanyap366@gmail.com com o vencimento para o dia 24/08</x:v>
      </x:c>
    </x:row>
    <x:row r="59">
      <x:c r="A59" s="22" t="str">
        <x:v>Camila</x:v>
      </x:c>
      <x:c r="B59" s="22" t="n">
        <x:v>19</x:v>
      </x:c>
      <x:c r="C59" s="38" t="n">
        <x:v>46248</x:v>
      </x:c>
      <x:c r="D59" s="22" t="str">
        <x:v>BBZ</x:v>
      </x:c>
      <x:c r="E59" s="22" t="n">
        <x:v>2</x:v>
      </x:c>
      <x:c r="F59" s="22" t="n">
        <x:v>10</x:v>
      </x:c>
      <x:c r="G59" s="22" t="str">
        <x:v>CONDOMINIO EDIFICIO ESTAÇÃO GABRIELE</x:v>
      </x:c>
      <x:c r="H59" s="22" t="str">
        <x:v>CONDOMÍNIO EDIFÍCIO ESTAÇÃO GABRIELE</x:v>
      </x:c>
      <x:c r="I59" s="22" t="str">
        <x:v>Confirmado</x:v>
      </x:c>
      <x:c r="J59" s="22" t="str">
        <x:v>ativo</x:v>
      </x:c>
      <x:c r="K59" s="39" t="str">
        <x:v>29.050.207/0001-52</x:v>
      </x:c>
      <x:c r="L59" s="39" t="str">
        <x:v>201 B</x:v>
      </x:c>
      <x:c r="M59" s="39" t="str">
        <x:v>B</x:v>
      </x:c>
      <x:c r="N59" s="38" t="n">
        <x:v>46213</x:v>
      </x:c>
      <x:c r="O59" s="40" t="n">
        <x:v>631.96</x:v>
      </x:c>
      <x:c r="P59" s="22" t="str">
        <x:v>Com acordo</x:v>
      </x:c>
      <x:c r="Q59" s="22" t="str">
        <x:v>Acordo realizado dia 19/08 referente a cota 07/26 e enviado para o email nobrechris@icloud.com com o vencimento para o dia 19/08</x:v>
      </x:c>
    </x:row>
    <x:row r="60">
      <x:c r="A60" s="22" t="str">
        <x:v>Camila</x:v>
      </x:c>
      <x:c r="B60" s="22" t="n">
        <x:v>20</x:v>
      </x:c>
      <x:c r="C60" s="38" t="n">
        <x:v>46248</x:v>
      </x:c>
      <x:c r="D60" s="22" t="str">
        <x:v>BBZ</x:v>
      </x:c>
      <x:c r="E60" s="22" t="n">
        <x:v>2</x:v>
      </x:c>
      <x:c r="F60" s="22" t="n">
        <x:v>10</x:v>
      </x:c>
      <x:c r="G60" s="22" t="str">
        <x:v>CONDOMINIO EDIFICIO ESTAÇÃO GABRIELE</x:v>
      </x:c>
      <x:c r="H60" s="22" t="str">
        <x:v>CONDOMÍNIO EDIFÍCIO ESTAÇÃO GABRIELE</x:v>
      </x:c>
      <x:c r="I60" s="22" t="str">
        <x:v>Confirmado</x:v>
      </x:c>
      <x:c r="J60" s="22" t="str">
        <x:v>ativo</x:v>
      </x:c>
      <x:c r="K60" s="39" t="str">
        <x:v>29.050.207/0001-52</x:v>
      </x:c>
      <x:c r="L60" s="39" t="str">
        <x:v>202 B</x:v>
      </x:c>
      <x:c r="M60" s="39" t="str">
        <x:v>B</x:v>
      </x:c>
      <x:c r="N60" s="38" t="n">
        <x:v>46213</x:v>
      </x:c>
      <x:c r="O60" s="40" t="n">
        <x:v>610.18</x:v>
      </x:c>
      <x:c r="P60" s="22" t="str">
        <x:v>Com acordo</x:v>
      </x:c>
      <x:c r="Q60" s="22" t="str">
        <x:v>Acordo realizado dia 20/08 referente a cota de 07/26 e enviado para o email tanyap366@gmail.com com o vencimento para o dia 24/08</x:v>
      </x:c>
    </x:row>
    <x:row r="61">
      <x:c r="A61" s="22" t="str">
        <x:v>Camila</x:v>
      </x:c>
      <x:c r="B61" s="22" t="n">
        <x:v>21</x:v>
      </x:c>
      <x:c r="C61" s="38" t="n">
        <x:v>46247</x:v>
      </x:c>
      <x:c r="D61" s="22" t="str">
        <x:v>BBZ</x:v>
      </x:c>
      <x:c r="E61" s="22" t="n">
        <x:v>2</x:v>
      </x:c>
      <x:c r="F61" s="22"/>
      <x:c r="G61" s="22" t="str">
        <x:v>CONDOMÍNIO COMODITA</x:v>
      </x:c>
      <x:c r="H61" s="22" t="str">
        <x:v>CONDOMÍNIO COMODITÁ CLUB RESIDENCE</x:v>
      </x:c>
      <x:c r="I61" s="22" t="str">
        <x:v>Provável</x:v>
      </x:c>
      <x:c r="J61" s="22" t="str">
        <x:v>ativo</x:v>
      </x:c>
      <x:c r="K61" s="39" t="str">
        <x:v>19.723.248/0001-09</x:v>
      </x:c>
      <x:c r="L61" s="39" t="str">
        <x:v>172</x:v>
      </x:c>
      <x:c r="M61" s="39" t="str">
        <x:v>1</x:v>
      </x:c>
      <x:c r="N61" s="38" t="str">
        <x:v>10/05/2026 a 10/07/2026</x:v>
      </x:c>
      <x:c r="O61" s="40" t="n">
        <x:v>3293.26</x:v>
      </x:c>
      <x:c r="P61" s="22" t="str">
        <x:v>Com acordo</x:v>
      </x:c>
      <x:c r="Q61" s="22" t="str">
        <x:v>MANUAL alinerevolucao@gmail.com | Cobrança realizada dia 14/08 por email e por whatsapp | Acordo realizado dia 14/08 referente as cotas em aberto com o venciemnto para o dia 17</x:v>
      </x:c>
    </x:row>
    <x:row r="62">
      <x:c r="A62" s="22" t="str">
        <x:v>Camila</x:v>
      </x:c>
      <x:c r="B62" s="22" t="n">
        <x:v>22</x:v>
      </x:c>
      <x:c r="C62" s="38" t="n">
        <x:v>46247</x:v>
      </x:c>
      <x:c r="D62" s="22" t="str">
        <x:v>BBZ</x:v>
      </x:c>
      <x:c r="E62" s="22" t="n">
        <x:v>2</x:v>
      </x:c>
      <x:c r="F62" s="22"/>
      <x:c r="G62" s="22" t="str">
        <x:v>CONDOMÍNIO COMODITA</x:v>
      </x:c>
      <x:c r="H62" s="22" t="str">
        <x:v>CONDOMÍNIO COMODITÁ CLUB RESIDENCE</x:v>
      </x:c>
      <x:c r="I62" s="22" t="str">
        <x:v>Provável</x:v>
      </x:c>
      <x:c r="J62" s="22" t="str">
        <x:v>ativo</x:v>
      </x:c>
      <x:c r="K62" s="39" t="str">
        <x:v>19.723.248/0001-09</x:v>
      </x:c>
      <x:c r="L62" s="39" t="str">
        <x:v>52</x:v>
      </x:c>
      <x:c r="M62" s="39" t="str">
        <x:v>01</x:v>
      </x:c>
      <x:c r="N62" s="38" t="str">
        <x:v>10/07/2026 </x:v>
      </x:c>
      <x:c r="O62" s="40" t="n">
        <x:v>1483.62</x:v>
      </x:c>
      <x:c r="P62" s="22" t="str">
        <x:v>Com acordo</x:v>
      </x:c>
      <x:c r="Q62" s="22" t="str">
        <x:v>MANUAL rcssouzaa@gmail.com | Cobrança realizada dia 14/08 por email | Acordo realizado dia 18/08 referente a cota de 07/26 com o vencimento para o dia 20/08</x:v>
      </x:c>
    </x:row>
    <x:row r="63">
      <x:c r="A63" s="22" t="str">
        <x:v>Camila</x:v>
      </x:c>
      <x:c r="B63" s="22" t="n">
        <x:v>23</x:v>
      </x:c>
      <x:c r="C63" s="38" t="n">
        <x:v>46247</x:v>
      </x:c>
      <x:c r="D63" s="22" t="str">
        <x:v>BBZ</x:v>
      </x:c>
      <x:c r="E63" s="22" t="n">
        <x:v>2</x:v>
      </x:c>
      <x:c r="F63" s="22"/>
      <x:c r="G63" s="22" t="str">
        <x:v>CONDOMÍNIO COMODITA</x:v>
      </x:c>
      <x:c r="H63" s="22" t="str">
        <x:v>CONDOMÍNIO COMODITÁ CLUB RESIDENCE</x:v>
      </x:c>
      <x:c r="I63" s="22" t="str">
        <x:v>Provável</x:v>
      </x:c>
      <x:c r="J63" s="22" t="str">
        <x:v>ativo</x:v>
      </x:c>
      <x:c r="K63" s="39" t="str">
        <x:v>19.723.248/0001-09</x:v>
      </x:c>
      <x:c r="L63" s="39" t="str">
        <x:v>004</x:v>
      </x:c>
      <x:c r="M63" s="39" t="str">
        <x:v>2</x:v>
      </x:c>
      <x:c r="N63" s="38" t="str">
        <x:v>10/07/2026 </x:v>
      </x:c>
      <x:c r="O63" s="40" t="n">
        <x:v>1381.48</x:v>
      </x:c>
      <x:c r="P63" s="22" t="str">
        <x:v>Com acordo</x:v>
      </x:c>
      <x:c r="Q63" s="22" t="str">
        <x:v>MANUAL  denniskarvalho45@gmail.com | Cobrança realizada dia 14/08 por email e por whatsapp | Acordo realizado dia 18/08 referente a cota de 07/26 com o vencimento para o dia 20/08</x:v>
      </x:c>
    </x:row>
    <x:row r="64">
      <x:c r="A64" s="22" t="str">
        <x:v>Camila</x:v>
      </x:c>
      <x:c r="B64" s="22" t="n">
        <x:v>24</x:v>
      </x:c>
      <x:c r="C64" s="38" t="n">
        <x:v>46247</x:v>
      </x:c>
      <x:c r="D64" s="22" t="str">
        <x:v>BBZ</x:v>
      </x:c>
      <x:c r="E64" s="22" t="n">
        <x:v>2</x:v>
      </x:c>
      <x:c r="F64" s="22"/>
      <x:c r="G64" s="22" t="str">
        <x:v>CONDOMÍNIO COMODITA</x:v>
      </x:c>
      <x:c r="H64" s="22" t="str">
        <x:v>CONDOMÍNIO COMODITÁ CLUB RESIDENCE</x:v>
      </x:c>
      <x:c r="I64" s="22" t="str">
        <x:v>Provável</x:v>
      </x:c>
      <x:c r="J64" s="22" t="str">
        <x:v>ativo</x:v>
      </x:c>
      <x:c r="K64" s="39" t="str">
        <x:v>19.723.248/0001-09</x:v>
      </x:c>
      <x:c r="L64" s="39" t="str">
        <x:v>31</x:v>
      </x:c>
      <x:c r="M64" s="39" t="str">
        <x:v>02</x:v>
      </x:c>
      <x:c r="N64" s="38" t="str">
        <x:v>10/07/2026 </x:v>
      </x:c>
      <x:c r="O64" s="40" t="n">
        <x:v>1590.96</x:v>
      </x:c>
      <x:c r="P64" s="22" t="str">
        <x:v>Com acordo</x:v>
      </x:c>
      <x:c r="Q64" s="22" t="str">
        <x:v>MANUAL ramosgiovanne@icloud.com | Cobrança realizada dia 14/08 por email e por whatsapp | Acordo realizado dia 17/08 referente a cota de 07/26 e enviado para o email magnosks@gmail.com com o vencimento para o dia 19/08</x:v>
      </x:c>
    </x:row>
    <x:row r="65">
      <x:c r="A65" s="22" t="str">
        <x:v>Camila</x:v>
      </x:c>
      <x:c r="B65" s="22" t="n">
        <x:v>25</x:v>
      </x:c>
      <x:c r="C65" s="38" t="n">
        <x:v>46247</x:v>
      </x:c>
      <x:c r="D65" s="22" t="str">
        <x:v>BBZ</x:v>
      </x:c>
      <x:c r="E65" s="22" t="n">
        <x:v>2</x:v>
      </x:c>
      <x:c r="F65" s="22"/>
      <x:c r="G65" s="22" t="str">
        <x:v>CONDOMÍNIO COMODITA</x:v>
      </x:c>
      <x:c r="H65" s="22" t="str">
        <x:v>CONDOMÍNIO COMODITÁ CLUB RESIDENCE</x:v>
      </x:c>
      <x:c r="I65" s="22" t="str">
        <x:v>Provável</x:v>
      </x:c>
      <x:c r="J65" s="22" t="str">
        <x:v>ativo</x:v>
      </x:c>
      <x:c r="K65" s="39" t="str">
        <x:v>19.723.248/0001-09</x:v>
      </x:c>
      <x:c r="L65" s="39" t="str">
        <x:v>142</x:v>
      </x:c>
      <x:c r="M65" s="39" t="str">
        <x:v>02</x:v>
      </x:c>
      <x:c r="N65" s="38" t="str">
        <x:v>10/07/2026 </x:v>
      </x:c>
      <x:c r="O65" s="40" t="n">
        <x:v>1473.82</x:v>
      </x:c>
      <x:c r="P65" s="22" t="str">
        <x:v>Com acordo</x:v>
      </x:c>
      <x:c r="Q65" s="22" t="str">
        <x:v>MANUAL drntb@bol.com.br | Cobrança realizada dia 14/08 por email e por whatsapp | Acordo realizado dia 18/08 referente a cota de 07/26 com o vencimento para o dia 20/08</x:v>
      </x:c>
    </x:row>
    <x:row r="66">
      <x:c r="A66" s="22" t="str">
        <x:v>Camila</x:v>
      </x:c>
      <x:c r="B66" s="22" t="n">
        <x:v>26</x:v>
      </x:c>
      <x:c r="C66" s="38" t="n">
        <x:v>46247</x:v>
      </x:c>
      <x:c r="D66" s="22" t="str">
        <x:v>BBZ</x:v>
      </x:c>
      <x:c r="E66" s="22" t="n">
        <x:v>2</x:v>
      </x:c>
      <x:c r="F66" s="22"/>
      <x:c r="G66" s="22" t="str">
        <x:v>CONDOMÍNIO COMODITA</x:v>
      </x:c>
      <x:c r="H66" s="22" t="str">
        <x:v>CONDOMÍNIO COMODITÁ CLUB RESIDENCE</x:v>
      </x:c>
      <x:c r="I66" s="22" t="str">
        <x:v>Provável</x:v>
      </x:c>
      <x:c r="J66" s="22" t="str">
        <x:v>ativo</x:v>
      </x:c>
      <x:c r="K66" s="39" t="str">
        <x:v>19.723.248/0001-09</x:v>
      </x:c>
      <x:c r="L66" s="39" t="str">
        <x:v>181</x:v>
      </x:c>
      <x:c r="M66" s="39" t="str">
        <x:v>02</x:v>
      </x:c>
      <x:c r="N66" s="38" t="str">
        <x:v>10/07/2026 </x:v>
      </x:c>
      <x:c r="O66" s="40" t="n">
        <x:v>1375.67</x:v>
      </x:c>
      <x:c r="P66" s="22" t="str">
        <x:v>Com acordo</x:v>
      </x:c>
      <x:c r="Q66" s="22" t="str">
        <x:v>MANUAL 	cbbuenoadv@gmail.com | Cobrança realizada dia 14/08 por email e por whatsapp | Acordo realizado dia 18/08 referente a cota de 07/26 com o vencimento para o dia 20/08</x:v>
      </x:c>
    </x:row>
    <x:row r="67">
      <x:c r="A67" s="22" t="str">
        <x:v>Camila</x:v>
      </x:c>
      <x:c r="B67" s="22" t="n">
        <x:v>27</x:v>
      </x:c>
      <x:c r="C67" s="38" t="n">
        <x:v>46247</x:v>
      </x:c>
      <x:c r="D67" s="22" t="str">
        <x:v>BBZ</x:v>
      </x:c>
      <x:c r="E67" s="22" t="n">
        <x:v>2</x:v>
      </x:c>
      <x:c r="F67" s="22"/>
      <x:c r="G67" s="22" t="str">
        <x:v>CONDOMÍNIO COMODITA</x:v>
      </x:c>
      <x:c r="H67" s="22" t="str">
        <x:v>CONDOMÍNIO COMODITÁ CLUB RESIDENCE</x:v>
      </x:c>
      <x:c r="I67" s="22" t="str">
        <x:v>Provável</x:v>
      </x:c>
      <x:c r="J67" s="22" t="str">
        <x:v>ativo</x:v>
      </x:c>
      <x:c r="K67" s="39" t="str">
        <x:v>19.723.248/0001-09</x:v>
      </x:c>
      <x:c r="L67" s="39" t="str">
        <x:v>24</x:v>
      </x:c>
      <x:c r="M67" s="39" t="str">
        <x:v>01</x:v>
      </x:c>
      <x:c r="N67" s="38" t="n">
        <x:v>46213</x:v>
      </x:c>
      <x:c r="O67" s="40" t="n">
        <x:v>1264.58</x:v>
      </x:c>
      <x:c r="P67" s="22" t="str">
        <x:v>Com acordo</x:v>
      </x:c>
      <x:c r="Q67" s="22" t="str">
        <x:v>MANUAL rearteferraz@yahoo.com.br | Cobrança realizada dia 14/08 por email | Acordo realizado dia 18/08 referente a cota de 07/26 com o vencimento para o dia 20/08</x:v>
      </x:c>
    </x:row>
    <x:row r="68">
      <x:c r="A68" s="22" t="str">
        <x:v>Camila</x:v>
      </x:c>
      <x:c r="B68" s="22" t="n">
        <x:v>28</x:v>
      </x:c>
      <x:c r="C68" s="38" t="n">
        <x:v>46247</x:v>
      </x:c>
      <x:c r="D68" s="22" t="str">
        <x:v>BBZ</x:v>
      </x:c>
      <x:c r="E68" s="22" t="n">
        <x:v>2</x:v>
      </x:c>
      <x:c r="F68" s="22"/>
      <x:c r="G68" s="22" t="str">
        <x:v>CONDOMÍNIO COMODITA</x:v>
      </x:c>
      <x:c r="H68" s="22" t="str">
        <x:v>CONDOMÍNIO COMODITÁ CLUB RESIDENCE</x:v>
      </x:c>
      <x:c r="I68" s="22" t="str">
        <x:v>Provável</x:v>
      </x:c>
      <x:c r="J68" s="22" t="str">
        <x:v>ativo</x:v>
      </x:c>
      <x:c r="K68" s="39" t="str">
        <x:v>19.723.248/0001-09</x:v>
      </x:c>
      <x:c r="L68" s="39" t="str">
        <x:v>72</x:v>
      </x:c>
      <x:c r="M68" s="39" t="str">
        <x:v>1</x:v>
      </x:c>
      <x:c r="N68" s="38" t="str">
        <x:v>07/2026</x:v>
      </x:c>
      <x:c r="O68" s="40" t="n">
        <x:v>1166.22</x:v>
      </x:c>
      <x:c r="P68" s="22" t="str">
        <x:v>Cobrança realizada</x:v>
      </x:c>
      <x:c r="Q68" s="22" t="str">
        <x:v>MANUAL sumeder@yahoo.com.br | Cobrança realizada dia 14/08 por email</x:v>
      </x:c>
    </x:row>
    <x:row r="69">
      <x:c r="A69" s="22" t="str">
        <x:v>Camila</x:v>
      </x:c>
      <x:c r="B69" s="22" t="n">
        <x:v>29</x:v>
      </x:c>
      <x:c r="C69" s="38" t="n">
        <x:v>46247</x:v>
      </x:c>
      <x:c r="D69" s="22" t="str">
        <x:v>BBZ</x:v>
      </x:c>
      <x:c r="E69" s="22" t="n">
        <x:v>2</x:v>
      </x:c>
      <x:c r="F69" s="22"/>
      <x:c r="G69" s="22" t="str">
        <x:v>CONDOMÍNIO COMODITA</x:v>
      </x:c>
      <x:c r="H69" s="22" t="str">
        <x:v>CONDOMÍNIO COMODITÁ CLUB RESIDENCE</x:v>
      </x:c>
      <x:c r="I69" s="22" t="str">
        <x:v>Provável</x:v>
      </x:c>
      <x:c r="J69" s="22" t="str">
        <x:v>ativo</x:v>
      </x:c>
      <x:c r="K69" s="39" t="str">
        <x:v>19.723.248/0001-09</x:v>
      </x:c>
      <x:c r="L69" s="39" t="str">
        <x:v>004</x:v>
      </x:c>
      <x:c r="M69" s="39" t="str">
        <x:v>03</x:v>
      </x:c>
      <x:c r="N69" s="38"/>
      <x:c r="O69" s="40"/>
      <x:c r="P69" s="22" t="str">
        <x:v>Cobrança realizada</x:v>
      </x:c>
      <x:c r="Q69" s="22" t="str">
        <x:v>Vincendas 11/2025 a 08/2026 em negociação | Cobrança realizada dia 17/08 por whatsapp</x:v>
      </x:c>
    </x:row>
    <x:row r="70">
      <x:c r="A70" s="22" t="str">
        <x:v>Camila</x:v>
      </x:c>
      <x:c r="B70" s="22" t="n">
        <x:v>30</x:v>
      </x:c>
      <x:c r="C70" s="38" t="n">
        <x:v>46247</x:v>
      </x:c>
      <x:c r="D70" s="22" t="str">
        <x:v>BBZ</x:v>
      </x:c>
      <x:c r="E70" s="22" t="n">
        <x:v>2</x:v>
      </x:c>
      <x:c r="F70" s="22"/>
      <x:c r="G70" s="22" t="str">
        <x:v>CONDOMÍNIO COMODITA</x:v>
      </x:c>
      <x:c r="H70" s="22" t="str">
        <x:v>CONDOMÍNIO COMODITÁ CLUB RESIDENCE</x:v>
      </x:c>
      <x:c r="I70" s="22" t="str">
        <x:v>Provável</x:v>
      </x:c>
      <x:c r="J70" s="22" t="str">
        <x:v>ativo</x:v>
      </x:c>
      <x:c r="K70" s="39" t="str">
        <x:v>19.723.248/0001-09</x:v>
      </x:c>
      <x:c r="L70" s="39" t="str">
        <x:v>094</x:v>
      </x:c>
      <x:c r="M70" s="39" t="str">
        <x:v>03</x:v>
      </x:c>
      <x:c r="N70" s="38"/>
      <x:c r="O70" s="40"/>
      <x:c r="P70" s="22" t="str">
        <x:v>Com acordo</x:v>
      </x:c>
      <x:c r="Q70" s="22" t="str">
        <x:v>Vincendas 02/2026 a 08/2026 em negociação. | Cobrança realizada dia 17/08 por whatsapp | Acordo realizado dia 24/07 referente a cota em aberto e enviado para o email com o vencimento para o dia 28/07</x:v>
      </x:c>
    </x:row>
    <x:row r="71">
      <x:c r="A71" s="22" t="str">
        <x:v>Camila</x:v>
      </x:c>
      <x:c r="B71" s="22" t="n">
        <x:v>31</x:v>
      </x:c>
      <x:c r="C71" s="38" t="n">
        <x:v>46251</x:v>
      </x:c>
      <x:c r="D71" s="22" t="str">
        <x:v>LELLO</x:v>
      </x:c>
      <x:c r="E71" s="22" t="n">
        <x:v>2</x:v>
      </x:c>
      <x:c r="F71" s="22" t="n">
        <x:v>9090</x:v>
      </x:c>
      <x:c r="G71" s="22" t="str">
        <x:v>CONDOMÍNIO BOSQUE MARAJOARA</x:v>
      </x:c>
      <x:c r="H71" s="22" t="str">
        <x:v>CONDOMÍNIO BOSQUE MARAJOARA</x:v>
      </x:c>
      <x:c r="I71" s="22" t="str">
        <x:v>Confirmado</x:v>
      </x:c>
      <x:c r="J71" s="22" t="str">
        <x:v>ativo</x:v>
      </x:c>
      <x:c r="K71" s="39" t="str">
        <x:v>32.670.404/0001-89</x:v>
      </x:c>
      <x:c r="L71" s="39" t="str">
        <x:v>00033A</x:v>
      </x:c>
      <x:c r="M71" s="39" t="str">
        <x:v>A</x:v>
      </x:c>
      <x:c r="N71" s="38" t="str">
        <x:v>10/07/2026 e 10/08/2026</x:v>
      </x:c>
      <x:c r="O71" s="40" t="n">
        <x:v>1464.77</x:v>
      </x:c>
      <x:c r="P71" s="22" t="str">
        <x:v>Cobrança realizada</x:v>
      </x:c>
      <x:c r="Q71" s="22" t="str">
        <x:v>Cobrança realizada dia 20/08 por email e por whatsapp</x:v>
      </x:c>
    </x:row>
    <x:row r="72">
      <x:c r="A72" s="22" t="str">
        <x:v>Camila</x:v>
      </x:c>
      <x:c r="B72" s="22" t="n">
        <x:v>32</x:v>
      </x:c>
      <x:c r="C72" s="38" t="n">
        <x:v>46251</x:v>
      </x:c>
      <x:c r="D72" s="22" t="str">
        <x:v>LELLO</x:v>
      </x:c>
      <x:c r="E72" s="22" t="n">
        <x:v>2</x:v>
      </x:c>
      <x:c r="F72" s="22" t="n">
        <x:v>9090</x:v>
      </x:c>
      <x:c r="G72" s="22" t="str">
        <x:v>CONDOMÍNIO BOSQUE MARAJOARA</x:v>
      </x:c>
      <x:c r="H72" s="22" t="str">
        <x:v>CONDOMÍNIO BOSQUE MARAJOARA</x:v>
      </x:c>
      <x:c r="I72" s="22" t="str">
        <x:v>Confirmado</x:v>
      </x:c>
      <x:c r="J72" s="22" t="str">
        <x:v>ativo</x:v>
      </x:c>
      <x:c r="K72" s="39" t="str">
        <x:v>32.670.404/0001-89</x:v>
      </x:c>
      <x:c r="L72" s="39" t="str">
        <x:v>00043D</x:v>
      </x:c>
      <x:c r="M72" s="39" t="str">
        <x:v>D</x:v>
      </x:c>
      <x:c r="N72" s="38" t="str">
        <x:v>10/07/2026 e 10/08/2026</x:v>
      </x:c>
      <x:c r="O72" s="40" t="n">
        <x:v>1434.63</x:v>
      </x:c>
      <x:c r="P72" s="22" t="str">
        <x:v>Cobrança realizada</x:v>
      </x:c>
      <x:c r="Q72" s="22" t="str">
        <x:v>Cobrança realizada dia 20/08 por email e por whatsapp</x:v>
      </x:c>
    </x:row>
    <x:row r="73">
      <x:c r="A73" s="22" t="str">
        <x:v>Camila</x:v>
      </x:c>
      <x:c r="B73" s="22" t="n">
        <x:v>33</x:v>
      </x:c>
      <x:c r="C73" s="38" t="n">
        <x:v>46251</x:v>
      </x:c>
      <x:c r="D73" s="22" t="str">
        <x:v>LELLO</x:v>
      </x:c>
      <x:c r="E73" s="22" t="n">
        <x:v>2</x:v>
      </x:c>
      <x:c r="F73" s="22" t="n">
        <x:v>9090</x:v>
      </x:c>
      <x:c r="G73" s="22" t="str">
        <x:v>CONDOMÍNIO BOSQUE MARAJOARA</x:v>
      </x:c>
      <x:c r="H73" s="22" t="str">
        <x:v>CONDOMÍNIO BOSQUE MARAJOARA</x:v>
      </x:c>
      <x:c r="I73" s="22" t="str">
        <x:v>Confirmado</x:v>
      </x:c>
      <x:c r="J73" s="22" t="str">
        <x:v>ativo</x:v>
      </x:c>
      <x:c r="K73" s="39" t="str">
        <x:v>32.670.404/0001-89</x:v>
      </x:c>
      <x:c r="L73" s="39" t="str">
        <x:v>00051B</x:v>
      </x:c>
      <x:c r="M73" s="39" t="str">
        <x:v>B</x:v>
      </x:c>
      <x:c r="N73" s="38" t="str">
        <x:v>10/07/2026 e 10/08/2026</x:v>
      </x:c>
      <x:c r="O73" s="40" t="n">
        <x:v>1904.08</x:v>
      </x:c>
      <x:c r="P73" s="22" t="str">
        <x:v>Cobrança realizada</x:v>
      </x:c>
      <x:c r="Q73" s="22" t="str">
        <x:v>Cobrança realizada dia 20/08 por email e por whatsapp</x:v>
      </x:c>
    </x:row>
    <x:row r="74">
      <x:c r="A74" s="22" t="str">
        <x:v>Camila</x:v>
      </x:c>
      <x:c r="B74" s="22" t="n">
        <x:v>34</x:v>
      </x:c>
      <x:c r="C74" s="38" t="n">
        <x:v>46251</x:v>
      </x:c>
      <x:c r="D74" s="22" t="str">
        <x:v>LELLO</x:v>
      </x:c>
      <x:c r="E74" s="22" t="n">
        <x:v>2</x:v>
      </x:c>
      <x:c r="F74" s="22" t="n">
        <x:v>9090</x:v>
      </x:c>
      <x:c r="G74" s="22" t="str">
        <x:v>CONDOMÍNIO BOSQUE MARAJOARA</x:v>
      </x:c>
      <x:c r="H74" s="22" t="str">
        <x:v>CONDOMÍNIO BOSQUE MARAJOARA</x:v>
      </x:c>
      <x:c r="I74" s="22" t="str">
        <x:v>Confirmado</x:v>
      </x:c>
      <x:c r="J74" s="22" t="str">
        <x:v>ativo</x:v>
      </x:c>
      <x:c r="K74" s="39" t="str">
        <x:v>32.670.404/0001-89</x:v>
      </x:c>
      <x:c r="L74" s="39" t="str">
        <x:v>00092D</x:v>
      </x:c>
      <x:c r="M74" s="39" t="str">
        <x:v>D</x:v>
      </x:c>
      <x:c r="N74" s="38" t="str">
        <x:v>10/07/2026 e 10/08/2026</x:v>
      </x:c>
      <x:c r="O74" s="40" t="n">
        <x:v>1885.56</x:v>
      </x:c>
      <x:c r="P74" s="22" t="str">
        <x:v>Cobrança realizada</x:v>
      </x:c>
      <x:c r="Q74" s="22" t="str">
        <x:v>Cobrança realizada dia 20/08 por email e por whatsapp</x:v>
      </x:c>
    </x:row>
    <x:row r="75">
      <x:c r="A75" s="22" t="str">
        <x:v>Camila</x:v>
      </x:c>
      <x:c r="B75" s="22" t="n">
        <x:v>35</x:v>
      </x:c>
      <x:c r="C75" s="38" t="n">
        <x:v>46251</x:v>
      </x:c>
      <x:c r="D75" s="22" t="str">
        <x:v>LELLO</x:v>
      </x:c>
      <x:c r="E75" s="22" t="n">
        <x:v>2</x:v>
      </x:c>
      <x:c r="F75" s="22" t="n">
        <x:v>9090</x:v>
      </x:c>
      <x:c r="G75" s="22" t="str">
        <x:v>CONDOMÍNIO BOSQUE MARAJOARA</x:v>
      </x:c>
      <x:c r="H75" s="22" t="str">
        <x:v>CONDOMÍNIO BOSQUE MARAJOARA</x:v>
      </x:c>
      <x:c r="I75" s="22" t="str">
        <x:v>Confirmado</x:v>
      </x:c>
      <x:c r="J75" s="22" t="str">
        <x:v>ativo</x:v>
      </x:c>
      <x:c r="K75" s="39" t="str">
        <x:v>32.670.404/0001-89</x:v>
      </x:c>
      <x:c r="L75" s="39" t="str">
        <x:v>00154C</x:v>
      </x:c>
      <x:c r="M75" s="39" t="str">
        <x:v>C</x:v>
      </x:c>
      <x:c r="N75" s="38" t="str">
        <x:v>10/07/2026 e 10/08/2026</x:v>
      </x:c>
      <x:c r="O75" s="40" t="n">
        <x:v>2010.78</x:v>
      </x:c>
      <x:c r="P75" s="22" t="str">
        <x:v>Com acordo</x:v>
      </x:c>
      <x:c r="Q75" s="22" t="str">
        <x:v>Cobrança realizada dia 19/08 por email e por whatsapp | Acordo realziado dia 20/08 referente a cota de 07/26 e enviado para o email araujo03meire@hotmail.com com o vencimento para o dia 28/08</x:v>
      </x:c>
    </x:row>
    <x:row r="76">
      <x:c r="A76" s="22" t="str">
        <x:v>Camila</x:v>
      </x:c>
      <x:c r="B76" s="22" t="n">
        <x:v>36</x:v>
      </x:c>
      <x:c r="C76" s="38" t="n">
        <x:v>46251</x:v>
      </x:c>
      <x:c r="D76" s="22" t="str">
        <x:v>LELLO</x:v>
      </x:c>
      <x:c r="E76" s="22" t="n">
        <x:v>2</x:v>
      </x:c>
      <x:c r="F76" s="22" t="n">
        <x:v>9090</x:v>
      </x:c>
      <x:c r="G76" s="22" t="str">
        <x:v>CONDOMÍNIO BOSQUE MARAJOARA</x:v>
      </x:c>
      <x:c r="H76" s="22" t="str">
        <x:v>CONDOMÍNIO BOSQUE MARAJOARA</x:v>
      </x:c>
      <x:c r="I76" s="22" t="str">
        <x:v>Confirmado</x:v>
      </x:c>
      <x:c r="J76" s="22" t="str">
        <x:v>ativo</x:v>
      </x:c>
      <x:c r="K76" s="39" t="str">
        <x:v>32.670.404/0001-89</x:v>
      </x:c>
      <x:c r="L76" s="39" t="str">
        <x:v>00073B</x:v>
      </x:c>
      <x:c r="M76" s="39" t="str">
        <x:v>B</x:v>
      </x:c>
      <x:c r="N76" s="38" t="str">
        <x:v>10/06/2026 e 10/08/2026</x:v>
      </x:c>
      <x:c r="O76" s="40" t="n">
        <x:v>1472.75</x:v>
      </x:c>
      <x:c r="P76" s="22" t="str">
        <x:v>Com acordo</x:v>
      </x:c>
      <x:c r="Q76" s="22" t="str">
        <x:v>Acordo realizado dia 20/08 referente a cota de 06/26 e enviado para o email jennifermarcelinol@gmail.com com o vencimento para o dia 19/08</x:v>
      </x:c>
    </x:row>
    <x:row r="77">
      <x:c r="A77" s="22" t="str">
        <x:v>Camila</x:v>
      </x:c>
      <x:c r="B77" s="22" t="n">
        <x:v>37</x:v>
      </x:c>
      <x:c r="C77" s="38" t="n">
        <x:v>46253</x:v>
      </x:c>
      <x:c r="D77" s="22" t="str">
        <x:v>ATLANTICA</x:v>
      </x:c>
      <x:c r="E77" s="22" t="n">
        <x:v>3</x:v>
      </x:c>
      <x:c r="F77" s="22" t="n">
        <x:v>0</x:v>
      </x:c>
      <x:c r="G77" s="22" t="str">
        <x:v>CONDOMÍNIO EDIFÍCIO AIRPORT HOTELS E SUÍTES</x:v>
      </x:c>
      <x:c r="H77" s="22" t="str">
        <x:v>CONDOMÍNIO EDIFÍCIO AIRPORT HOTELS</x:v>
      </x:c>
      <x:c r="I77" s="22" t="str">
        <x:v>Provável</x:v>
      </x:c>
      <x:c r="J77" s="22" t="str">
        <x:v>ativo</x:v>
      </x:c>
      <x:c r="K77" s="39" t="str">
        <x:v>05.524.902/0001-40</x:v>
      </x:c>
      <x:c r="L77" s="39" t="str">
        <x:v>H0503</x:v>
      </x:c>
      <x:c r="M77" s="39" t="str">
        <x:v>H</x:v>
      </x:c>
      <x:c r="N77" s="38" t="str">
        <x:v>05/04/2026, 05/07/2026, 05/08/2026</x:v>
      </x:c>
      <x:c r="O77" s="40" t="n">
        <x:v>4497.92</x:v>
      </x:c>
      <x:c r="P77" s="22" t="str">
        <x:v>Cobrança realizada</x:v>
      </x:c>
      <x:c r="Q77" s="22" t="str">
        <x:v>MANUAL | Cobrança realizada dia 19/08 por email e por whatsapp</x:v>
      </x:c>
    </x:row>
    <x:row r="78">
      <x:c r="A78" s="22" t="str">
        <x:v>Camila</x:v>
      </x:c>
      <x:c r="B78" s="22" t="n">
        <x:v>38</x:v>
      </x:c>
      <x:c r="C78" s="38" t="n">
        <x:v>46253</x:v>
      </x:c>
      <x:c r="D78" s="22" t="str">
        <x:v>ATLANTICA</x:v>
      </x:c>
      <x:c r="E78" s="22" t="n">
        <x:v>3</x:v>
      </x:c>
      <x:c r="F78" s="22" t="n">
        <x:v>0</x:v>
      </x:c>
      <x:c r="G78" s="22" t="str">
        <x:v>CONDOMÍNIO EDIFÍCIO AIRPORT HOTELS E SUÍTES</x:v>
      </x:c>
      <x:c r="H78" s="22" t="str">
        <x:v>CONDOMÍNIO EDIFÍCIO AIRPORT HOTELS</x:v>
      </x:c>
      <x:c r="I78" s="22" t="str">
        <x:v>Provável</x:v>
      </x:c>
      <x:c r="J78" s="22" t="str">
        <x:v>ativo</x:v>
      </x:c>
      <x:c r="K78" s="39" t="str">
        <x:v>05.524.902/0001-40</x:v>
      </x:c>
      <x:c r="L78" s="39" t="str">
        <x:v>H1812</x:v>
      </x:c>
      <x:c r="M78" s="39" t="str">
        <x:v>H</x:v>
      </x:c>
      <x:c r="N78" s="38" t="str">
        <x:v>11/05/2026 A 05/08/2026</x:v>
      </x:c>
      <x:c r="O78" s="40" t="n">
        <x:v>6295</x:v>
      </x:c>
      <x:c r="P78" s="22" t="str">
        <x:v>Cobrança realizada</x:v>
      </x:c>
      <x:c r="Q78" s="22" t="str">
        <x:v>MANUAL | Cobrança realizada dia 19/08 por email e por whatsapp</x:v>
      </x:c>
    </x:row>
    <x:row r="79">
      <x:c r="A79" s="22" t="str">
        <x:v>Camila</x:v>
      </x:c>
      <x:c r="B79" s="22" t="n">
        <x:v>39</x:v>
      </x:c>
      <x:c r="C79" s="38" t="n">
        <x:v>46253</x:v>
      </x:c>
      <x:c r="D79" s="22" t="str">
        <x:v>ATLANTICA</x:v>
      </x:c>
      <x:c r="E79" s="22" t="n">
        <x:v>3</x:v>
      </x:c>
      <x:c r="F79" s="22" t="n">
        <x:v>0</x:v>
      </x:c>
      <x:c r="G79" s="22" t="str">
        <x:v>CONDOMÍNIO EDIFÍCIO AIRPORT HOTELS E SUÍTES</x:v>
      </x:c>
      <x:c r="H79" s="22" t="str">
        <x:v>CONDOMÍNIO EDIFÍCIO AIRPORT HOTELS</x:v>
      </x:c>
      <x:c r="I79" s="22" t="str">
        <x:v>Provável</x:v>
      </x:c>
      <x:c r="J79" s="22" t="str">
        <x:v>ativo</x:v>
      </x:c>
      <x:c r="K79" s="39" t="str">
        <x:v>05.524.902/0001-40</x:v>
      </x:c>
      <x:c r="L79" s="39" t="str">
        <x:v>H1908</x:v>
      </x:c>
      <x:c r="M79" s="39" t="str">
        <x:v>H</x:v>
      </x:c>
      <x:c r="N79" s="38" t="n">
        <x:v>46117</x:v>
      </x:c>
      <x:c r="O79" s="40" t="n">
        <x:v>1477.25</x:v>
      </x:c>
      <x:c r="P79" s="22" t="str">
        <x:v>Cobrança realizada</x:v>
      </x:c>
      <x:c r="Q79" s="22" t="str">
        <x:v>MANUAL | Cobrança realizada dia 19/08 por email</x:v>
      </x:c>
    </x:row>
    <x:row r="80">
      <x:c r="A80" s="22" t="str">
        <x:v>Camila</x:v>
      </x:c>
      <x:c r="B80" s="22" t="n">
        <x:v>40</x:v>
      </x:c>
      <x:c r="C80" s="38" t="n">
        <x:v>46253</x:v>
      </x:c>
      <x:c r="D80" s="22" t="str">
        <x:v>ATLANTICA</x:v>
      </x:c>
      <x:c r="E80" s="22" t="n">
        <x:v>3</x:v>
      </x:c>
      <x:c r="F80" s="22" t="n">
        <x:v>0</x:v>
      </x:c>
      <x:c r="G80" s="22" t="str">
        <x:v>CONDOMÍNIO EDIFÍCIO AIRPORT HOTELS E SUÍTES</x:v>
      </x:c>
      <x:c r="H80" s="22" t="str">
        <x:v>CONDOMÍNIO EDIFÍCIO AIRPORT HOTELS</x:v>
      </x:c>
      <x:c r="I80" s="22" t="str">
        <x:v>Provável</x:v>
      </x:c>
      <x:c r="J80" s="22" t="str">
        <x:v>ativo</x:v>
      </x:c>
      <x:c r="K80" s="39" t="str">
        <x:v>05.524.902/0001-40</x:v>
      </x:c>
      <x:c r="L80" s="39" t="str">
        <x:v>S0604</x:v>
      </x:c>
      <x:c r="M80" s="39" t="str">
        <x:v>S</x:v>
      </x:c>
      <x:c r="N80" s="38" t="str">
        <x:v>25/01/2026 A 05/08/2026</x:v>
      </x:c>
      <x:c r="O80" s="40" t="n">
        <x:v>9480.65</x:v>
      </x:c>
      <x:c r="P80" s="22" t="str">
        <x:v>Cobrança realizada</x:v>
      </x:c>
      <x:c r="Q80" s="22" t="str">
        <x:v>MANUAL | Cobrança realizada dia 19/08 por email e por whatsapp</x:v>
      </x:c>
    </x:row>
    <x:row r="81">
      <x:c r="A81" s="22" t="str">
        <x:v>Camila</x:v>
      </x:c>
      <x:c r="B81" s="22" t="n">
        <x:v>41</x:v>
      </x:c>
      <x:c r="C81" s="38" t="n">
        <x:v>46253</x:v>
      </x:c>
      <x:c r="D81" s="22" t="str">
        <x:v>ATLANTICA</x:v>
      </x:c>
      <x:c r="E81" s="22" t="n">
        <x:v>3</x:v>
      </x:c>
      <x:c r="F81" s="22" t="n">
        <x:v>0</x:v>
      </x:c>
      <x:c r="G81" s="22" t="str">
        <x:v>CONDOMÍNIO EDIFÍCIO AIRPORT HOTELS E SUÍTES</x:v>
      </x:c>
      <x:c r="H81" s="22" t="str">
        <x:v>CONDOMÍNIO EDIFÍCIO AIRPORT HOTELS</x:v>
      </x:c>
      <x:c r="I81" s="22" t="str">
        <x:v>Provável</x:v>
      </x:c>
      <x:c r="J81" s="22" t="str">
        <x:v>ativo</x:v>
      </x:c>
      <x:c r="K81" s="39" t="str">
        <x:v>05.524.902/0001-40</x:v>
      </x:c>
      <x:c r="L81" s="39" t="str">
        <x:v>S1703</x:v>
      </x:c>
      <x:c r="M81" s="39" t="str">
        <x:v>S</x:v>
      </x:c>
      <x:c r="N81" s="38" t="n">
        <x:v>46153</x:v>
      </x:c>
      <x:c r="O81" s="40" t="n">
        <x:v>2484.14</x:v>
      </x:c>
      <x:c r="P81" s="22" t="str">
        <x:v>Cobrança realizada</x:v>
      </x:c>
      <x:c r="Q81" s="22" t="str">
        <x:v>MANUAL | Cobrança realizada dia 19/08 por email e por whatsapp</x:v>
      </x:c>
    </x:row>
    <x:row r="82">
      <x:c r="A82" s="22" t="str">
        <x:v>Camila</x:v>
      </x:c>
      <x:c r="B82" s="22" t="n">
        <x:v>42</x:v>
      </x:c>
      <x:c r="C82" s="38" t="n">
        <x:v>46253</x:v>
      </x:c>
      <x:c r="D82" s="22" t="str">
        <x:v>GUILLAMON</x:v>
      </x:c>
      <x:c r="E82" s="22" t="n">
        <x:v>3</x:v>
      </x:c>
      <x:c r="F82" s="22" t="n">
        <x:v>622</x:v>
      </x:c>
      <x:c r="G82" s="22" t="str">
        <x:v>CONDOMÍNIO AYLA MOEMA - RESIDENCIAL/ STUDIOS</x:v>
      </x:c>
      <x:c r="H82" s="22" t="str">
        <x:v>CONDOMÍNIO AYLA MOEMA - RESIDENCIAL/ STUDIOS</x:v>
      </x:c>
      <x:c r="I82" s="22" t="str">
        <x:v>Confirmado</x:v>
      </x:c>
      <x:c r="J82" s="22" t="str">
        <x:v>ativo</x:v>
      </x:c>
      <x:c r="K82" s="39" t="str">
        <x:v>46.936.326/0002-07</x:v>
      </x:c>
      <x:c r="L82" s="39" t="str">
        <x:v>SU0615</x:v>
      </x:c>
      <x:c r="M82" s="39" t="str">
        <x:v>2</x:v>
      </x:c>
      <x:c r="N82" s="38" t="n">
        <x:v>46152</x:v>
      </x:c>
      <x:c r="O82" s="40" t="n">
        <x:v>739.09</x:v>
      </x:c>
      <x:c r="P82" s="22" t="str">
        <x:v>Sem andamento registrado</x:v>
      </x:c>
      <x:c r="Q82" s="22" t="str"/>
    </x:row>
    <x:row r="83">
      <x:c r="A83" s="22" t="str">
        <x:v>Camila</x:v>
      </x:c>
      <x:c r="B83" s="22" t="n">
        <x:v>43</x:v>
      </x:c>
      <x:c r="C83" s="38" t="n">
        <x:v>46253</x:v>
      </x:c>
      <x:c r="D83" s="22" t="str">
        <x:v>MANAGER</x:v>
      </x:c>
      <x:c r="E83" s="22" t="n">
        <x:v>3</x:v>
      </x:c>
      <x:c r="F83" s="22" t="n">
        <x:v>2272</x:v>
      </x:c>
      <x:c r="G83" s="22" t="str">
        <x:v>CONDOMÍNIO NEW WAY</x:v>
      </x:c>
      <x:c r="H83" s="22" t="str">
        <x:v>CONDOMÍNIO NEW WAY</x:v>
      </x:c>
      <x:c r="I83" s="22" t="str">
        <x:v>Confirmado</x:v>
      </x:c>
      <x:c r="J83" s="22" t="str">
        <x:v>ativo</x:v>
      </x:c>
      <x:c r="K83" s="39" t="str">
        <x:v>23.896.621/0001-09</x:v>
      </x:c>
      <x:c r="L83" s="39" t="str">
        <x:v>000909</x:v>
      </x:c>
      <x:c r="M83" s="39" t="str">
        <x:v>0</x:v>
      </x:c>
      <x:c r="N83" s="38" t="str">
        <x:v>10/06/2026</x:v>
      </x:c>
      <x:c r="O83" s="40" t="n">
        <x:v>716.11</x:v>
      </x:c>
      <x:c r="P83" s="22" t="str">
        <x:v>Sem andamento registrado</x:v>
      </x:c>
      <x:c r="Q83" s="22" t="str"/>
    </x:row>
    <x:row r="84">
      <x:c r="A84" s="22" t="str">
        <x:v>Camila</x:v>
      </x:c>
      <x:c r="B84" s="22" t="n">
        <x:v>44</x:v>
      </x:c>
      <x:c r="C84" s="38" t="n">
        <x:v>46253</x:v>
      </x:c>
      <x:c r="D84" s="22" t="str">
        <x:v>MANAGER</x:v>
      </x:c>
      <x:c r="E84" s="22" t="n">
        <x:v>3</x:v>
      </x:c>
      <x:c r="F84" s="22" t="n">
        <x:v>2272</x:v>
      </x:c>
      <x:c r="G84" s="22" t="str">
        <x:v>CONDOMÍNIO NEW WAY</x:v>
      </x:c>
      <x:c r="H84" s="22" t="str">
        <x:v>CONDOMÍNIO NEW WAY</x:v>
      </x:c>
      <x:c r="I84" s="22" t="str">
        <x:v>Confirmado</x:v>
      </x:c>
      <x:c r="J84" s="22" t="str">
        <x:v>ativo</x:v>
      </x:c>
      <x:c r="K84" s="39" t="str">
        <x:v>23.896.621/0001-09</x:v>
      </x:c>
      <x:c r="L84" s="39" t="str">
        <x:v>001013</x:v>
      </x:c>
      <x:c r="M84" s="39" t="str">
        <x:v>0</x:v>
      </x:c>
      <x:c r="N84" s="38" t="str">
        <x:v>10/06/2026</x:v>
      </x:c>
      <x:c r="O84" s="40" t="n">
        <x:v>1017.97</x:v>
      </x:c>
      <x:c r="P84" s="22" t="str">
        <x:v>Sem andamento registrado</x:v>
      </x:c>
      <x:c r="Q84" s="22" t="str"/>
    </x:row>
    <x:row r="85">
      <x:c r="A85" s="22" t="str">
        <x:v>Camila</x:v>
      </x:c>
      <x:c r="B85" s="22" t="n">
        <x:v>45</x:v>
      </x:c>
      <x:c r="C85" s="38" t="n">
        <x:v>46253</x:v>
      </x:c>
      <x:c r="D85" s="22" t="str">
        <x:v>MANAGER</x:v>
      </x:c>
      <x:c r="E85" s="22" t="n">
        <x:v>3</x:v>
      </x:c>
      <x:c r="F85" s="22" t="n">
        <x:v>2272</x:v>
      </x:c>
      <x:c r="G85" s="22" t="str">
        <x:v>CONDOMÍNIO NEW WAY</x:v>
      </x:c>
      <x:c r="H85" s="22" t="str">
        <x:v>CONDOMÍNIO NEW WAY</x:v>
      </x:c>
      <x:c r="I85" s="22" t="str">
        <x:v>Confirmado</x:v>
      </x:c>
      <x:c r="J85" s="22" t="str">
        <x:v>ativo</x:v>
      </x:c>
      <x:c r="K85" s="39" t="str">
        <x:v>23.896.621/0001-09</x:v>
      </x:c>
      <x:c r="L85" s="39" t="str">
        <x:v>001102</x:v>
      </x:c>
      <x:c r="M85" s="39" t="str">
        <x:v>0</x:v>
      </x:c>
      <x:c r="N85" s="38" t="str">
        <x:v>10/06/2026</x:v>
      </x:c>
      <x:c r="O85" s="40" t="n">
        <x:v>1068.62</x:v>
      </x:c>
      <x:c r="P85" s="22" t="str">
        <x:v>Sem andamento registrado</x:v>
      </x:c>
      <x:c r="Q85" s="22" t="str"/>
    </x:row>
    <x:row r="86">
      <x:c r="A86" s="22" t="str">
        <x:v>Camila</x:v>
      </x:c>
      <x:c r="B86" s="22" t="n">
        <x:v>46</x:v>
      </x:c>
      <x:c r="C86" s="38" t="n">
        <x:v>46253</x:v>
      </x:c>
      <x:c r="D86" s="22" t="str">
        <x:v>MANAGER</x:v>
      </x:c>
      <x:c r="E86" s="22" t="n">
        <x:v>3</x:v>
      </x:c>
      <x:c r="F86" s="22" t="n">
        <x:v>2272</x:v>
      </x:c>
      <x:c r="G86" s="22" t="str">
        <x:v>CONDOMÍNIO NEW WAY</x:v>
      </x:c>
      <x:c r="H86" s="22" t="str">
        <x:v>CONDOMÍNIO NEW WAY</x:v>
      </x:c>
      <x:c r="I86" s="22" t="str">
        <x:v>Confirmado</x:v>
      </x:c>
      <x:c r="J86" s="22" t="str">
        <x:v>ativo</x:v>
      </x:c>
      <x:c r="K86" s="39" t="str">
        <x:v>23.896.621/0001-09</x:v>
      </x:c>
      <x:c r="L86" s="39" t="str">
        <x:v>001207</x:v>
      </x:c>
      <x:c r="M86" s="39" t="str">
        <x:v>0</x:v>
      </x:c>
      <x:c r="N86" s="38" t="str">
        <x:v>10/06/2026</x:v>
      </x:c>
      <x:c r="O86" s="40" t="n">
        <x:v>1091.43</x:v>
      </x:c>
      <x:c r="P86" s="22" t="str">
        <x:v>Sem andamento registrado</x:v>
      </x:c>
      <x:c r="Q86" s="22" t="str"/>
    </x:row>
    <x:row r="87">
      <x:c r="A87" s="22" t="str">
        <x:v>Camila</x:v>
      </x:c>
      <x:c r="B87" s="22" t="n">
        <x:v>47</x:v>
      </x:c>
      <x:c r="C87" s="38" t="n">
        <x:v>46253</x:v>
      </x:c>
      <x:c r="D87" s="22" t="str">
        <x:v>MANAGER</x:v>
      </x:c>
      <x:c r="E87" s="22" t="n">
        <x:v>3</x:v>
      </x:c>
      <x:c r="F87" s="22" t="n">
        <x:v>2272</x:v>
      </x:c>
      <x:c r="G87" s="22" t="str">
        <x:v>CONDOMÍNIO NEW WAY</x:v>
      </x:c>
      <x:c r="H87" s="22" t="str">
        <x:v>CONDOMÍNIO NEW WAY</x:v>
      </x:c>
      <x:c r="I87" s="22" t="str">
        <x:v>Confirmado</x:v>
      </x:c>
      <x:c r="J87" s="22" t="str">
        <x:v>ativo</x:v>
      </x:c>
      <x:c r="K87" s="39" t="str">
        <x:v>23.896.621/0001-09</x:v>
      </x:c>
      <x:c r="L87" s="39" t="str">
        <x:v>001311</x:v>
      </x:c>
      <x:c r="M87" s="39" t="str">
        <x:v>0</x:v>
      </x:c>
      <x:c r="N87" s="38" t="str">
        <x:v>10/06/2026</x:v>
      </x:c>
      <x:c r="O87" s="40" t="n">
        <x:v>1102.69</x:v>
      </x:c>
      <x:c r="P87" s="22" t="str">
        <x:v>Cobrança realizada</x:v>
      </x:c>
      <x:c r="Q87" s="22" t="str">
        <x:v>cobrança realizada dia 20/08 por email e por  whatsapp</x:v>
      </x:c>
    </x:row>
    <x:row r="88">
      <x:c r="A88" s="22" t="str">
        <x:v>Camila</x:v>
      </x:c>
      <x:c r="B88" s="22" t="n">
        <x:v>48</x:v>
      </x:c>
      <x:c r="C88" s="38" t="n">
        <x:v>46253</x:v>
      </x:c>
      <x:c r="D88" s="22" t="str">
        <x:v>MANAGER</x:v>
      </x:c>
      <x:c r="E88" s="22" t="n">
        <x:v>3</x:v>
      </x:c>
      <x:c r="F88" s="22" t="n">
        <x:v>2272</x:v>
      </x:c>
      <x:c r="G88" s="22" t="str">
        <x:v>CONDOMÍNIO NEW WAY</x:v>
      </x:c>
      <x:c r="H88" s="22" t="str">
        <x:v>CONDOMÍNIO NEW WAY</x:v>
      </x:c>
      <x:c r="I88" s="22" t="str">
        <x:v>Confirmado</x:v>
      </x:c>
      <x:c r="J88" s="22" t="str">
        <x:v>ativo</x:v>
      </x:c>
      <x:c r="K88" s="39" t="str">
        <x:v>23.896.621/0001-09</x:v>
      </x:c>
      <x:c r="L88" s="39" t="str">
        <x:v>001402</x:v>
      </x:c>
      <x:c r="M88" s="39" t="str">
        <x:v>0</x:v>
      </x:c>
      <x:c r="N88" s="38" t="str">
        <x:v>10/06/2026</x:v>
      </x:c>
      <x:c r="O88" s="40" t="n">
        <x:v>1109.39</x:v>
      </x:c>
      <x:c r="P88" s="22" t="str">
        <x:v>Sem andamento registrado</x:v>
      </x:c>
      <x:c r="Q88" s="22" t="str">
        <x:v>ver contato</x:v>
      </x:c>
    </x:row>
    <x:row r="89">
      <x:c r="A89" s="22" t="str">
        <x:v>Camila</x:v>
      </x:c>
      <x:c r="B89" s="22" t="n">
        <x:v>49</x:v>
      </x:c>
      <x:c r="C89" s="38" t="n">
        <x:v>46253</x:v>
      </x:c>
      <x:c r="D89" s="22" t="str">
        <x:v>MANAGER</x:v>
      </x:c>
      <x:c r="E89" s="22" t="n">
        <x:v>3</x:v>
      </x:c>
      <x:c r="F89" s="22" t="n">
        <x:v>2272</x:v>
      </x:c>
      <x:c r="G89" s="22" t="str">
        <x:v>CONDOMÍNIO NEW WAY</x:v>
      </x:c>
      <x:c r="H89" s="22" t="str">
        <x:v>CONDOMÍNIO NEW WAY</x:v>
      </x:c>
      <x:c r="I89" s="22" t="str">
        <x:v>Confirmado</x:v>
      </x:c>
      <x:c r="J89" s="22" t="str">
        <x:v>ativo</x:v>
      </x:c>
      <x:c r="K89" s="39" t="str">
        <x:v>23.896.621/0001-09</x:v>
      </x:c>
      <x:c r="L89" s="39" t="str">
        <x:v>002402</x:v>
      </x:c>
      <x:c r="M89" s="39" t="str">
        <x:v>0</x:v>
      </x:c>
      <x:c r="N89" s="38" t="str">
        <x:v>10/06/2026</x:v>
      </x:c>
      <x:c r="O89" s="40" t="n">
        <x:v>1031.88</x:v>
      </x:c>
      <x:c r="P89" s="22" t="str">
        <x:v>Sem andamento registrado</x:v>
      </x:c>
      <x:c r="Q89" s="22" t="str"/>
    </x:row>
    <x:row r="90">
      <x:c r="A90" s="22" t="str">
        <x:v>Camila</x:v>
      </x:c>
      <x:c r="B90" s="22" t="n">
        <x:v>50</x:v>
      </x:c>
      <x:c r="C90" s="38" t="n">
        <x:v>46253</x:v>
      </x:c>
      <x:c r="D90" s="22" t="str">
        <x:v>MANAGER</x:v>
      </x:c>
      <x:c r="E90" s="22" t="n">
        <x:v>3</x:v>
      </x:c>
      <x:c r="F90" s="22" t="n">
        <x:v>2283</x:v>
      </x:c>
      <x:c r="G90" s="22" t="str">
        <x:v>ASSOCIAÇÃO PALACIO DAS AGUAS</x:v>
      </x:c>
      <x:c r="H90" s="22" t="str">
        <x:v>ASSOCIAÇÃO PALÁCIO DAS ÁGUAS HOME RESORT</x:v>
      </x:c>
      <x:c r="I90" s="22" t="str">
        <x:v>Provável</x:v>
      </x:c>
      <x:c r="J90" s="22" t="str">
        <x:v>ativo</x:v>
      </x:c>
      <x:c r="K90" s="39" t="str">
        <x:v>31.523.049/0001-52</x:v>
      </x:c>
      <x:c r="L90" s="39" t="str">
        <x:v>Q2L017</x:v>
      </x:c>
      <x:c r="M90" s="39" t="str">
        <x:v>Q02</x:v>
      </x:c>
      <x:c r="N90" s="38" t="str">
        <x:v>15/06/2026</x:v>
      </x:c>
      <x:c r="O90" s="40" t="n">
        <x:v>475.1</x:v>
      </x:c>
      <x:c r="P90" s="22" t="str">
        <x:v>Sem andamento registrado</x:v>
      </x:c>
      <x:c r="Q90" s="22" t="str"/>
    </x:row>
    <x:row r="91">
      <x:c r="A91" s="22" t="str">
        <x:v>Camila</x:v>
      </x:c>
      <x:c r="B91" s="22" t="n">
        <x:v>51</x:v>
      </x:c>
      <x:c r="C91" s="38" t="n">
        <x:v>46253</x:v>
      </x:c>
      <x:c r="D91" s="22" t="str">
        <x:v>MANAGER</x:v>
      </x:c>
      <x:c r="E91" s="22" t="n">
        <x:v>3</x:v>
      </x:c>
      <x:c r="F91" s="22" t="n">
        <x:v>2283</x:v>
      </x:c>
      <x:c r="G91" s="22" t="str">
        <x:v>ASSOCIAÇÃO PALACIO DAS AGUAS</x:v>
      </x:c>
      <x:c r="H91" s="22" t="str">
        <x:v>ASSOCIAÇÃO PALÁCIO DAS ÁGUAS HOME RESORT</x:v>
      </x:c>
      <x:c r="I91" s="22" t="str">
        <x:v>Provável</x:v>
      </x:c>
      <x:c r="J91" s="22" t="str">
        <x:v>ativo</x:v>
      </x:c>
      <x:c r="K91" s="39" t="str">
        <x:v>31.523.049/0001-52</x:v>
      </x:c>
      <x:c r="L91" s="39" t="str">
        <x:v>Q4L019</x:v>
      </x:c>
      <x:c r="M91" s="39" t="str">
        <x:v>Q04</x:v>
      </x:c>
      <x:c r="N91" s="38" t="str">
        <x:v>15/06/2026</x:v>
      </x:c>
      <x:c r="O91" s="40" t="n">
        <x:v>431.9</x:v>
      </x:c>
      <x:c r="P91" s="22" t="str">
        <x:v>Sem andamento registrado</x:v>
      </x:c>
      <x:c r="Q91" s="22" t="str"/>
    </x:row>
    <x:row r="92">
      <x:c r="A92" s="22" t="str">
        <x:v>Camila</x:v>
      </x:c>
      <x:c r="B92" s="22" t="n">
        <x:v>52</x:v>
      </x:c>
      <x:c r="C92" s="38" t="n">
        <x:v>46253</x:v>
      </x:c>
      <x:c r="D92" s="22" t="str">
        <x:v>MANAGER</x:v>
      </x:c>
      <x:c r="E92" s="22" t="n">
        <x:v>3</x:v>
      </x:c>
      <x:c r="F92" s="22" t="n">
        <x:v>2283</x:v>
      </x:c>
      <x:c r="G92" s="22" t="str">
        <x:v>ASSOCIAÇÃO PALACIO DAS AGUAS</x:v>
      </x:c>
      <x:c r="H92" s="22" t="str">
        <x:v>ASSOCIAÇÃO PALÁCIO DAS ÁGUAS HOME RESORT</x:v>
      </x:c>
      <x:c r="I92" s="22" t="str">
        <x:v>Provável</x:v>
      </x:c>
      <x:c r="J92" s="22" t="str">
        <x:v>ativo</x:v>
      </x:c>
      <x:c r="K92" s="39" t="str">
        <x:v>31.523.049/0001-52</x:v>
      </x:c>
      <x:c r="L92" s="39" t="str">
        <x:v>Q5L013</x:v>
      </x:c>
      <x:c r="M92" s="39" t="str">
        <x:v>Q05</x:v>
      </x:c>
      <x:c r="N92" s="38" t="str">
        <x:v>15/06/2026</x:v>
      </x:c>
      <x:c r="O92" s="40" t="n">
        <x:v>431.9</x:v>
      </x:c>
      <x:c r="P92" s="22" t="str">
        <x:v>Sem andamento registrado</x:v>
      </x:c>
      <x:c r="Q92" s="22" t="str"/>
    </x:row>
    <x:row r="93">
      <x:c r="A93" s="22" t="str">
        <x:v>Camila</x:v>
      </x:c>
      <x:c r="B93" s="22" t="n">
        <x:v>53</x:v>
      </x:c>
      <x:c r="C93" s="38" t="n">
        <x:v>46253</x:v>
      </x:c>
      <x:c r="D93" s="22" t="str">
        <x:v>MANAGER</x:v>
      </x:c>
      <x:c r="E93" s="22" t="n">
        <x:v>3</x:v>
      </x:c>
      <x:c r="F93" s="22" t="n">
        <x:v>2283</x:v>
      </x:c>
      <x:c r="G93" s="22" t="str">
        <x:v>ASSOCIAÇÃO PALACIO DAS AGUAS</x:v>
      </x:c>
      <x:c r="H93" s="22" t="str">
        <x:v>ASSOCIAÇÃO PALÁCIO DAS ÁGUAS HOME RESORT</x:v>
      </x:c>
      <x:c r="I93" s="22" t="str">
        <x:v>Provável</x:v>
      </x:c>
      <x:c r="J93" s="22" t="str">
        <x:v>ativo</x:v>
      </x:c>
      <x:c r="K93" s="39" t="str">
        <x:v>31.523.049/0001-52</x:v>
      </x:c>
      <x:c r="L93" s="39" t="str">
        <x:v>Q11L09</x:v>
      </x:c>
      <x:c r="M93" s="39" t="str">
        <x:v>Q11</x:v>
      </x:c>
      <x:c r="N93" s="38" t="str">
        <x:v>15/06/2026</x:v>
      </x:c>
      <x:c r="O93" s="40" t="n">
        <x:v>570.11</x:v>
      </x:c>
      <x:c r="P93" s="22" t="str">
        <x:v>Sem andamento registrado</x:v>
      </x:c>
      <x:c r="Q93" s="22" t="str"/>
    </x:row>
    <x:row r="94">
      <x:c r="A94" s="22" t="str">
        <x:v>Camila</x:v>
      </x:c>
      <x:c r="B94" s="22" t="n">
        <x:v>54</x:v>
      </x:c>
      <x:c r="C94" s="38" t="n">
        <x:v>46253</x:v>
      </x:c>
      <x:c r="D94" s="22" t="str">
        <x:v>MANAGER</x:v>
      </x:c>
      <x:c r="E94" s="22" t="n">
        <x:v>3</x:v>
      </x:c>
      <x:c r="F94" s="22" t="n">
        <x:v>2283</x:v>
      </x:c>
      <x:c r="G94" s="22" t="str">
        <x:v>ASSOCIAÇÃO PALACIO DAS AGUAS</x:v>
      </x:c>
      <x:c r="H94" s="22" t="str">
        <x:v>ASSOCIAÇÃO PALÁCIO DAS ÁGUAS HOME RESORT</x:v>
      </x:c>
      <x:c r="I94" s="22" t="str">
        <x:v>Provável</x:v>
      </x:c>
      <x:c r="J94" s="22" t="str">
        <x:v>ativo</x:v>
      </x:c>
      <x:c r="K94" s="39" t="str">
        <x:v>31.523.049/0001-52</x:v>
      </x:c>
      <x:c r="L94" s="39" t="str">
        <x:v>Q12L02</x:v>
      </x:c>
      <x:c r="M94" s="39" t="str">
        <x:v>Q12</x:v>
      </x:c>
      <x:c r="N94" s="38" t="str">
        <x:v>15/06/2026</x:v>
      </x:c>
      <x:c r="O94" s="40" t="n">
        <x:v>570.11</x:v>
      </x:c>
      <x:c r="P94" s="22" t="str">
        <x:v>Sem andamento registrado</x:v>
      </x:c>
      <x:c r="Q94" s="22" t="str"/>
    </x:row>
    <x:row r="95">
      <x:c r="A95" s="22" t="str">
        <x:v>Camila</x:v>
      </x:c>
      <x:c r="B95" s="22" t="n">
        <x:v>55</x:v>
      </x:c>
      <x:c r="C95" s="38" t="n">
        <x:v>46253</x:v>
      </x:c>
      <x:c r="D95" s="22" t="str">
        <x:v>MANAGER</x:v>
      </x:c>
      <x:c r="E95" s="22" t="n">
        <x:v>3</x:v>
      </x:c>
      <x:c r="F95" s="22" t="n">
        <x:v>2283</x:v>
      </x:c>
      <x:c r="G95" s="22" t="str">
        <x:v>ASSOCIAÇÃO PALACIO DAS AGUAS</x:v>
      </x:c>
      <x:c r="H95" s="22" t="str">
        <x:v>ASSOCIAÇÃO PALÁCIO DAS ÁGUAS HOME RESORT</x:v>
      </x:c>
      <x:c r="I95" s="22" t="str">
        <x:v>Provável</x:v>
      </x:c>
      <x:c r="J95" s="22" t="str">
        <x:v>ativo</x:v>
      </x:c>
      <x:c r="K95" s="39" t="str">
        <x:v>31.523.049/0001-52</x:v>
      </x:c>
      <x:c r="L95" s="39" t="str">
        <x:v>Q13L04</x:v>
      </x:c>
      <x:c r="M95" s="39" t="str">
        <x:v>Q13</x:v>
      </x:c>
      <x:c r="N95" s="38" t="str">
        <x:v>15/06/2026</x:v>
      </x:c>
      <x:c r="O95" s="40" t="n">
        <x:v>518.28</x:v>
      </x:c>
      <x:c r="P95" s="22" t="str">
        <x:v>Sem andamento registrado</x:v>
      </x:c>
      <x:c r="Q95" s="22" t="str"/>
    </x:row>
    <x:row r="96">
      <x:c r="A96" s="22" t="str">
        <x:v>Camila</x:v>
      </x:c>
      <x:c r="B96" s="22" t="n">
        <x:v>56</x:v>
      </x:c>
      <x:c r="C96" s="38" t="n">
        <x:v>46253</x:v>
      </x:c>
      <x:c r="D96" s="22" t="str">
        <x:v>MANAGER</x:v>
      </x:c>
      <x:c r="E96" s="22" t="n">
        <x:v>3</x:v>
      </x:c>
      <x:c r="F96" s="22" t="n">
        <x:v>2283</x:v>
      </x:c>
      <x:c r="G96" s="22" t="str">
        <x:v>ASSOCIAÇÃO PALACIO DAS AGUAS</x:v>
      </x:c>
      <x:c r="H96" s="22" t="str">
        <x:v>ASSOCIAÇÃO PALÁCIO DAS ÁGUAS HOME RESORT</x:v>
      </x:c>
      <x:c r="I96" s="22" t="str">
        <x:v>Provável</x:v>
      </x:c>
      <x:c r="J96" s="22" t="str">
        <x:v>ativo</x:v>
      </x:c>
      <x:c r="K96" s="39" t="str">
        <x:v>31.523.049/0001-52</x:v>
      </x:c>
      <x:c r="L96" s="39" t="str">
        <x:v>Q15L29</x:v>
      </x:c>
      <x:c r="M96" s="39" t="str">
        <x:v>Q15</x:v>
      </x:c>
      <x:c r="N96" s="38" t="str">
        <x:v>15/06/2026</x:v>
      </x:c>
      <x:c r="O96" s="40" t="n">
        <x:v>580.97</x:v>
      </x:c>
      <x:c r="P96" s="22" t="str">
        <x:v>Sem andamento registrado</x:v>
      </x:c>
      <x:c r="Q96" s="22" t="str"/>
    </x:row>
    <x:row r="97">
      <x:c r="A97" s="22" t="str">
        <x:v>Camila</x:v>
      </x:c>
      <x:c r="B97" s="22" t="n">
        <x:v>57</x:v>
      </x:c>
      <x:c r="C97" s="38" t="n">
        <x:v>46253</x:v>
      </x:c>
      <x:c r="D97" s="22" t="str">
        <x:v>MANAGER</x:v>
      </x:c>
      <x:c r="E97" s="22" t="n">
        <x:v>3</x:v>
      </x:c>
      <x:c r="F97" s="22" t="n">
        <x:v>580</x:v>
      </x:c>
      <x:c r="G97" s="22" t="str">
        <x:v>CONDOMÍNIO EDIFÍCIO CACIQUE</x:v>
      </x:c>
      <x:c r="H97" s="22" t="str">
        <x:v>CONDOMÍNIO EDIFÍCIO CACIQUE</x:v>
      </x:c>
      <x:c r="I97" s="22" t="str">
        <x:v>Confirmado</x:v>
      </x:c>
      <x:c r="J97" s="22" t="str">
        <x:v>ativo</x:v>
      </x:c>
      <x:c r="K97" s="39" t="str">
        <x:v>55.234.678/0001-20</x:v>
      </x:c>
      <x:c r="L97" s="39" t="str">
        <x:v>000033</x:v>
      </x:c>
      <x:c r="M97" s="39" t="str">
        <x:v>0</x:v>
      </x:c>
      <x:c r="N97" s="38" t="str">
        <x:v>01/07/2026</x:v>
      </x:c>
      <x:c r="O97" s="40" t="n">
        <x:v>2288.19</x:v>
      </x:c>
      <x:c r="P97" s="22" t="str">
        <x:v>Cobrança realizada</x:v>
      </x:c>
      <x:c r="Q97" s="22" t="str">
        <x:v>Cobrança realizada dia 20/08 por email</x:v>
      </x:c>
    </x:row>
    <x:row r="98">
      <x:c r="A98" s="22" t="str">
        <x:v>Camila</x:v>
      </x:c>
      <x:c r="B98" s="22" t="n">
        <x:v>58</x:v>
      </x:c>
      <x:c r="C98" s="38" t="n">
        <x:v>46253</x:v>
      </x:c>
      <x:c r="D98" s="22" t="str">
        <x:v>MANAGER</x:v>
      </x:c>
      <x:c r="E98" s="22" t="n">
        <x:v>3</x:v>
      </x:c>
      <x:c r="F98" s="22" t="n">
        <x:v>580</x:v>
      </x:c>
      <x:c r="G98" s="22" t="str">
        <x:v>CONDOMÍNIO EDIFÍCIO CACIQUE</x:v>
      </x:c>
      <x:c r="H98" s="22" t="str">
        <x:v>CONDOMÍNIO EDIFÍCIO CACIQUE</x:v>
      </x:c>
      <x:c r="I98" s="22" t="str">
        <x:v>Confirmado</x:v>
      </x:c>
      <x:c r="J98" s="22" t="str">
        <x:v>ativo</x:v>
      </x:c>
      <x:c r="K98" s="39" t="str">
        <x:v>55.234.678/0001-20</x:v>
      </x:c>
      <x:c r="L98" s="39" t="str">
        <x:v>000102</x:v>
      </x:c>
      <x:c r="M98" s="39" t="str">
        <x:v>0</x:v>
      </x:c>
      <x:c r="N98" s="38" t="str">
        <x:v>01/07/2026</x:v>
      </x:c>
      <x:c r="O98" s="40" t="n">
        <x:v>2395.2</x:v>
      </x:c>
      <x:c r="P98" s="22" t="str">
        <x:v>Com acordo</x:v>
      </x:c>
      <x:c r="Q98" s="22" t="str">
        <x:v>Cobrança realizada dia 20/08 por email  e por whatsapp | Acordo realizado dia 20/08 referente a cota de 07/26 e enviado para o email drajulianafperestoloi@gmail.com com o vencimento para o dia 24/08</x:v>
      </x:c>
    </x:row>
    <x:row r="99">
      <x:c r="A99" s="22" t="str">
        <x:v>Camila</x:v>
      </x:c>
      <x:c r="B99" s="22" t="n">
        <x:v>59</x:v>
      </x:c>
      <x:c r="C99" s="38" t="n">
        <x:v>46253</x:v>
      </x:c>
      <x:c r="D99" s="22" t="str">
        <x:v>MANAGER</x:v>
      </x:c>
      <x:c r="E99" s="22" t="n">
        <x:v>3</x:v>
      </x:c>
      <x:c r="F99" s="22" t="n">
        <x:v>580</x:v>
      </x:c>
      <x:c r="G99" s="22" t="str">
        <x:v>CONDOMÍNIO EDIFÍCIO CACIQUE</x:v>
      </x:c>
      <x:c r="H99" s="22" t="str">
        <x:v>CONDOMÍNIO EDIFÍCIO CACIQUE</x:v>
      </x:c>
      <x:c r="I99" s="22" t="str">
        <x:v>Confirmado</x:v>
      </x:c>
      <x:c r="J99" s="22" t="str">
        <x:v>ativo</x:v>
      </x:c>
      <x:c r="K99" s="39" t="str">
        <x:v>55.234.678/0001-20</x:v>
      </x:c>
      <x:c r="L99" s="39" t="str">
        <x:v>000016</x:v>
      </x:c>
      <x:c r="M99" s="39" t="str">
        <x:v>vaga</x:v>
      </x:c>
      <x:c r="N99" s="38" t="str">
        <x:v>01/07/2026</x:v>
      </x:c>
      <x:c r="O99" s="40" t="n">
        <x:v>36.91</x:v>
      </x:c>
      <x:c r="P99" s="22" t="str">
        <x:v>Com acordo</x:v>
      </x:c>
      <x:c r="Q99" s="22" t="str">
        <x:v>Cobrança realizada dia 20/08 por email  e por whatsapp | Acordo realizado dia 20/08 referente a cota de 07/26 e enviado para o email drajulianafperestoloi@gmail.com com o vencimento para o dia 24/08</x:v>
      </x:c>
    </x:row>
    <x:row r="100">
      <x:c r="A100" s="22" t="str">
        <x:v>Camila</x:v>
      </x:c>
      <x:c r="B100" s="22" t="n">
        <x:v>60</x:v>
      </x:c>
      <x:c r="C100" s="38" t="n">
        <x:v>46253</x:v>
      </x:c>
      <x:c r="D100" s="22" t="str">
        <x:v>HABITACIONAL</x:v>
      </x:c>
      <x:c r="E100" s="22" t="n">
        <x:v>3</x:v>
      </x:c>
      <x:c r="F100" s="22" t="n">
        <x:v>3246</x:v>
      </x:c>
      <x:c r="G100" s="22" t="str">
        <x:v>CONDOMINIO ALIVE CLUBE BELEM</x:v>
      </x:c>
      <x:c r="H100" s="22" t="str">
        <x:v>ALIVE HOME CLUB BELEM</x:v>
      </x:c>
      <x:c r="I100" s="22" t="str">
        <x:v>Confirmado</x:v>
      </x:c>
      <x:c r="J100" s="22" t="str">
        <x:v>ativo</x:v>
      </x:c>
      <x:c r="K100" s="39" t="str">
        <x:v>59.383.451/0001-06</x:v>
      </x:c>
      <x:c r="L100" s="39" t="str">
        <x:v>1911</x:v>
      </x:c>
      <x:c r="M100" s="39" t="str">
        <x:v>0</x:v>
      </x:c>
      <x:c r="N100" s="38" t="n">
        <x:v>46183</x:v>
      </x:c>
      <x:c r="O100" s="40" t="n">
        <x:v>1206.15</x:v>
      </x:c>
      <x:c r="P100" s="22" t="str">
        <x:v>Com acordo</x:v>
      </x:c>
      <x:c r="Q100" s="22" t="str">
        <x:v>Cobrança realizada dia 20/08 por email e por whatsapp | Acordorealizada dia 20/08 referente a cota 06/26 e enviado para o email barbosasilvacelso3@gmail.com com o vencimento para o  dia 24/08</x:v>
      </x:c>
    </x:row>
    <x:row r="101">
      <x:c r="A101" s="22" t="str">
        <x:v>Camila</x:v>
      </x:c>
      <x:c r="B101" s="22" t="n">
        <x:v>61</x:v>
      </x:c>
      <x:c r="C101" s="38" t="n">
        <x:v>46253</x:v>
      </x:c>
      <x:c r="D101" s="22" t="str">
        <x:v>GRAICHE</x:v>
      </x:c>
      <x:c r="E101" s="22" t="n">
        <x:v>3</x:v>
      </x:c>
      <x:c r="F101" s="22" t="n">
        <x:v>1175</x:v>
      </x:c>
      <x:c r="G101" s="22" t="str">
        <x:v>CONDOMINIO PANAMBY PENTHOUSE</x:v>
      </x:c>
      <x:c r="H101" s="22" t="str">
        <x:v>CONDOMÍNIO PANAMBY PENTHOUSES</x:v>
      </x:c>
      <x:c r="I101" s="22" t="str">
        <x:v>Provável</x:v>
      </x:c>
      <x:c r="J101" s="22" t="str">
        <x:v>ativo</x:v>
      </x:c>
      <x:c r="K101" s="39" t="str">
        <x:v>24.977.773/0001-90</x:v>
      </x:c>
      <x:c r="L101" s="39" t="str">
        <x:v>162</x:v>
      </x:c>
      <x:c r="M101" s="39" t="str">
        <x:v>0</x:v>
      </x:c>
      <x:c r="N101" s="38" t="n">
        <x:v>46220</x:v>
      </x:c>
      <x:c r="O101" s="40" t="n">
        <x:v>4079.55</x:v>
      </x:c>
      <x:c r="P101" s="22" t="str">
        <x:v>Sem andamento registrado</x:v>
      </x:c>
      <x:c r="Q101" s="22" t="str"/>
    </x:row>
    <x:row r="102">
      <x:c r="A102" s="22" t="str">
        <x:v>Camila</x:v>
      </x:c>
      <x:c r="B102" s="22" t="n">
        <x:v>62</x:v>
      </x:c>
      <x:c r="C102" s="38" t="n">
        <x:v>46253</x:v>
      </x:c>
      <x:c r="D102" s="22" t="str">
        <x:v>BBZ</x:v>
      </x:c>
      <x:c r="E102" s="22" t="n">
        <x:v>3</x:v>
      </x:c>
      <x:c r="F102" s="22" t="n">
        <x:v>1175</x:v>
      </x:c>
      <x:c r="G102" s="22" t="str">
        <x:v>CONDOMINIO PANAMBY PENTHOUSE</x:v>
      </x:c>
      <x:c r="H102" s="22" t="str">
        <x:v>CONDOMÍNIO PANAMBY PENTHOUSES</x:v>
      </x:c>
      <x:c r="I102" s="22" t="str">
        <x:v>Provável</x:v>
      </x:c>
      <x:c r="J102" s="22" t="str">
        <x:v>ativo</x:v>
      </x:c>
      <x:c r="K102" s="39" t="str">
        <x:v>24.977.773/0001-90</x:v>
      </x:c>
      <x:c r="L102" s="39" t="str">
        <x:v>243</x:v>
      </x:c>
      <x:c r="M102" s="39" t="str">
        <x:v>0</x:v>
      </x:c>
      <x:c r="N102" s="38" t="n">
        <x:v>46191</x:v>
      </x:c>
      <x:c r="O102" s="40" t="n">
        <x:v>4314.88</x:v>
      </x:c>
      <x:c r="P102" s="22" t="str">
        <x:v>Sem andamento registrado</x:v>
      </x:c>
      <x:c r="Q102" s="22" t="str"/>
    </x:row>
    <x:row r="103">
      <x:c r="A103" s="22" t="str">
        <x:v>Camila</x:v>
      </x:c>
      <x:c r="B103" s="22" t="n">
        <x:v>63</x:v>
      </x:c>
      <x:c r="C103" s="38" t="n">
        <x:v>46253</x:v>
      </x:c>
      <x:c r="D103" s="22" t="str">
        <x:v>BBZ</x:v>
      </x:c>
      <x:c r="E103" s="22" t="n">
        <x:v>3</x:v>
      </x:c>
      <x:c r="F103" s="22" t="n">
        <x:v>1207</x:v>
      </x:c>
      <x:c r="G103" s="22" t="str">
        <x:v>CONDOMÍNIO EXTENSION BERRINI</x:v>
      </x:c>
      <x:c r="H103" s="22" t="str">
        <x:v>CONDOMÍNIO EXTENSION BERRINI</x:v>
      </x:c>
      <x:c r="I103" s="22" t="str">
        <x:v>Confirmado</x:v>
      </x:c>
      <x:c r="J103" s="22" t="str">
        <x:v>ativo</x:v>
      </x:c>
      <x:c r="K103" s="39" t="str">
        <x:v>55.211.616/0001-01</x:v>
      </x:c>
      <x:c r="L103" s="39" t="str">
        <x:v>137</x:v>
      </x:c>
      <x:c r="M103" s="39" t="str">
        <x:v>0</x:v>
      </x:c>
      <x:c r="N103" s="38" t="n">
        <x:v>46213</x:v>
      </x:c>
      <x:c r="O103" s="40" t="n">
        <x:v>1138.51</x:v>
      </x:c>
      <x:c r="P103" s="22" t="str">
        <x:v>Sem andamento registrado</x:v>
      </x:c>
      <x:c r="Q103" s="22" t="str"/>
    </x:row>
    <x:row r="104">
      <x:c r="A104" s="22" t="str">
        <x:v>Camila</x:v>
      </x:c>
      <x:c r="B104" s="22" t="n">
        <x:v>64</x:v>
      </x:c>
      <x:c r="C104" s="38" t="n">
        <x:v>46253</x:v>
      </x:c>
      <x:c r="D104" s="22" t="str">
        <x:v>BBZ</x:v>
      </x:c>
      <x:c r="E104" s="22" t="n">
        <x:v>3</x:v>
      </x:c>
      <x:c r="F104" s="22" t="n">
        <x:v>1207</x:v>
      </x:c>
      <x:c r="G104" s="22" t="str">
        <x:v>CONDOMÍNIO EXTENSION BERRINI</x:v>
      </x:c>
      <x:c r="H104" s="22" t="str">
        <x:v>CONDOMÍNIO EXTENSION BERRINI</x:v>
      </x:c>
      <x:c r="I104" s="22" t="str">
        <x:v>Confirmado</x:v>
      </x:c>
      <x:c r="J104" s="22" t="str">
        <x:v>ativo</x:v>
      </x:c>
      <x:c r="K104" s="39" t="str">
        <x:v>55.211.616/0001-01</x:v>
      </x:c>
      <x:c r="L104" s="39" t="str">
        <x:v>236</x:v>
      </x:c>
      <x:c r="M104" s="39" t="str">
        <x:v>0</x:v>
      </x:c>
      <x:c r="N104" s="38" t="n">
        <x:v>46213</x:v>
      </x:c>
      <x:c r="O104" s="40" t="n">
        <x:v>1138.51</x:v>
      </x:c>
      <x:c r="P104" s="22" t="str">
        <x:v>Sem andamento registrado</x:v>
      </x:c>
      <x:c r="Q104" s="22" t="str"/>
    </x:row>
    <x:row r="105">
      <x:c r="A105" s="22" t="str">
        <x:v>Camila</x:v>
      </x:c>
      <x:c r="B105" s="22" t="n">
        <x:v>65</x:v>
      </x:c>
      <x:c r="C105" s="38" t="n">
        <x:v>46253</x:v>
      </x:c>
      <x:c r="D105" s="22" t="str">
        <x:v>BBZ</x:v>
      </x:c>
      <x:c r="E105" s="22" t="n">
        <x:v>3</x:v>
      </x:c>
      <x:c r="F105" s="22" t="n">
        <x:v>1207</x:v>
      </x:c>
      <x:c r="G105" s="22" t="str">
        <x:v>CONDOMÍNIO EXTENSION BERRINI</x:v>
      </x:c>
      <x:c r="H105" s="22" t="str">
        <x:v>CONDOMÍNIO EXTENSION BERRINI</x:v>
      </x:c>
      <x:c r="I105" s="22" t="str">
        <x:v>Confirmado</x:v>
      </x:c>
      <x:c r="J105" s="22" t="str">
        <x:v>ativo</x:v>
      </x:c>
      <x:c r="K105" s="39" t="str">
        <x:v>55.211.616/0001-01</x:v>
      </x:c>
      <x:c r="L105" s="39" t="str">
        <x:v>256</x:v>
      </x:c>
      <x:c r="M105" s="39" t="str">
        <x:v>0</x:v>
      </x:c>
      <x:c r="N105" s="38" t="n">
        <x:v>46213</x:v>
      </x:c>
      <x:c r="O105" s="40" t="n">
        <x:v>1138.51</x:v>
      </x:c>
      <x:c r="P105" s="22" t="str">
        <x:v>Sem andamento registrado</x:v>
      </x:c>
      <x:c r="Q105" s="22" t="str"/>
    </x:row>
    <x:row r="106">
      <x:c r="A106" s="22" t="str">
        <x:v>Camila</x:v>
      </x:c>
      <x:c r="B106" s="22" t="n">
        <x:v>66</x:v>
      </x:c>
      <x:c r="C106" s="38" t="n">
        <x:v>46253</x:v>
      </x:c>
      <x:c r="D106" s="22" t="str">
        <x:v>BBZ</x:v>
      </x:c>
      <x:c r="E106" s="22" t="n">
        <x:v>3</x:v>
      </x:c>
      <x:c r="F106" s="22" t="n">
        <x:v>1207</x:v>
      </x:c>
      <x:c r="G106" s="22" t="str">
        <x:v>CONDOMÍNIO EXTENSION BERRINI</x:v>
      </x:c>
      <x:c r="H106" s="22" t="str">
        <x:v>CONDOMÍNIO EXTENSION BERRINI</x:v>
      </x:c>
      <x:c r="I106" s="22" t="str">
        <x:v>Confirmado</x:v>
      </x:c>
      <x:c r="J106" s="22" t="str">
        <x:v>ativo</x:v>
      </x:c>
      <x:c r="K106" s="39" t="str">
        <x:v>55.211.616/0001-01</x:v>
      </x:c>
      <x:c r="L106" s="39" t="str">
        <x:v>264</x:v>
      </x:c>
      <x:c r="M106" s="39" t="str">
        <x:v>0</x:v>
      </x:c>
      <x:c r="N106" s="38" t="n">
        <x:v>46213</x:v>
      </x:c>
      <x:c r="O106" s="40" t="n">
        <x:v>926.77</x:v>
      </x:c>
      <x:c r="P106" s="22" t="str">
        <x:v>Com acordo</x:v>
      </x:c>
      <x:c r="Q106" s="22" t="str">
        <x:v>Acordo realizado dia 21/08 referente a cota de 06/26 e enviado para o email rafaeloricarte@gmail.com com o vencimento para o dia 24/08</x:v>
      </x:c>
    </x:row>
    <x:row r="107">
      <x:c r="A107" s="22" t="str">
        <x:v>Camila</x:v>
      </x:c>
      <x:c r="B107" s="22" t="n">
        <x:v>67</x:v>
      </x:c>
      <x:c r="C107" s="38" t="n">
        <x:v>46253</x:v>
      </x:c>
      <x:c r="D107" s="22" t="str">
        <x:v>BBZ</x:v>
      </x:c>
      <x:c r="E107" s="22" t="n">
        <x:v>3</x:v>
      </x:c>
      <x:c r="F107" s="22" t="n">
        <x:v>1207</x:v>
      </x:c>
      <x:c r="G107" s="22" t="str">
        <x:v>CONDOMÍNIO EXTENSION BERRINI</x:v>
      </x:c>
      <x:c r="H107" s="22" t="str">
        <x:v>CONDOMÍNIO EXTENSION BERRINI</x:v>
      </x:c>
      <x:c r="I107" s="22" t="str">
        <x:v>Confirmado</x:v>
      </x:c>
      <x:c r="J107" s="22" t="str">
        <x:v>ativo</x:v>
      </x:c>
      <x:c r="K107" s="39" t="str">
        <x:v>55.211.616/0001-01</x:v>
      </x:c>
      <x:c r="L107" s="39" t="str">
        <x:v>136</x:v>
      </x:c>
      <x:c r="M107" s="39" t="str">
        <x:v>0</x:v>
      </x:c>
      <x:c r="N107" s="38" t="n">
        <x:v>46213</x:v>
      </x:c>
      <x:c r="O107" s="40" t="n">
        <x:v>1138.51</x:v>
      </x:c>
      <x:c r="P107" s="22" t="str">
        <x:v>Sem andamento registrado</x:v>
      </x:c>
      <x:c r="Q107" s="22" t="str"/>
    </x:row>
    <x:row r="108">
      <x:c r="A108" s="22" t="str">
        <x:v>Camila</x:v>
      </x:c>
      <x:c r="B108" s="22" t="n">
        <x:v>68</x:v>
      </x:c>
      <x:c r="C108" s="38" t="n">
        <x:v>46253</x:v>
      </x:c>
      <x:c r="D108" s="22" t="str">
        <x:v>GRAICHE</x:v>
      </x:c>
      <x:c r="E108" s="22" t="n">
        <x:v>3</x:v>
      </x:c>
      <x:c r="F108" s="22" t="n">
        <x:v>595</x:v>
      </x:c>
      <x:c r="G108" s="22" t="str">
        <x:v>CAMINHOS DA LAPA CONDOMÍNIO JERIVÁS</x:v>
      </x:c>
      <x:c r="H108" s="22" t="str">
        <x:v>CAMINHOS DA LAPA CONDOMÍNIO JERIVÁS</x:v>
      </x:c>
      <x:c r="I108" s="22" t="str">
        <x:v>Confirmado</x:v>
      </x:c>
      <x:c r="J108" s="22" t="str">
        <x:v>ativo</x:v>
      </x:c>
      <x:c r="K108" s="39" t="str">
        <x:v>41.238.935/0001-98</x:v>
      </x:c>
      <x:c r="L108" s="39" t="str">
        <x:v>93</x:v>
      </x:c>
      <x:c r="M108" s="39" t="str">
        <x:v>A1</x:v>
      </x:c>
      <x:c r="N108" s="38" t="str">
        <x:v>10/06/2026	</x:v>
      </x:c>
      <x:c r="O108" s="40" t="n">
        <x:v>2358.44</x:v>
      </x:c>
      <x:c r="P108" s="22" t="str">
        <x:v>Sem andamento registrado</x:v>
      </x:c>
      <x:c r="Q108" s="22" t="str"/>
    </x:row>
    <x:row r="109">
      <x:c r="A109" s="22" t="str">
        <x:v>Camila</x:v>
      </x:c>
      <x:c r="B109" s="22" t="n">
        <x:v>69</x:v>
      </x:c>
      <x:c r="C109" s="38" t="n">
        <x:v>46253</x:v>
      </x:c>
      <x:c r="D109" s="22" t="str">
        <x:v>GRAICHE</x:v>
      </x:c>
      <x:c r="E109" s="22" t="n">
        <x:v>3</x:v>
      </x:c>
      <x:c r="F109" s="22" t="n">
        <x:v>595</x:v>
      </x:c>
      <x:c r="G109" s="22" t="str">
        <x:v>CAMINHOS DA LAPA CONDOMÍNIO JERIVÁS</x:v>
      </x:c>
      <x:c r="H109" s="22" t="str">
        <x:v>CAMINHOS DA LAPA CONDOMÍNIO JERIVÁS</x:v>
      </x:c>
      <x:c r="I109" s="22" t="str">
        <x:v>Confirmado</x:v>
      </x:c>
      <x:c r="J109" s="22" t="str">
        <x:v>ativo</x:v>
      </x:c>
      <x:c r="K109" s="39" t="str">
        <x:v>41.238.935/0001-98</x:v>
      </x:c>
      <x:c r="L109" s="39" t="str">
        <x:v>111</x:v>
      </x:c>
      <x:c r="M109" s="39" t="str">
        <x:v>A1</x:v>
      </x:c>
      <x:c r="N109" s="38" t="str">
        <x:v>10/06/2026	</x:v>
      </x:c>
      <x:c r="O109" s="40" t="n">
        <x:v>2286.33</x:v>
      </x:c>
      <x:c r="P109" s="22" t="str">
        <x:v>Sem andamento registrado</x:v>
      </x:c>
      <x:c r="Q109" s="22" t="str"/>
    </x:row>
    <x:row r="110">
      <x:c r="A110" s="22" t="str">
        <x:v>Camila</x:v>
      </x:c>
      <x:c r="B110" s="22" t="n">
        <x:v>70</x:v>
      </x:c>
      <x:c r="C110" s="38" t="n">
        <x:v>46253</x:v>
      </x:c>
      <x:c r="D110" s="22" t="str">
        <x:v>GRAICHE</x:v>
      </x:c>
      <x:c r="E110" s="22" t="n">
        <x:v>3</x:v>
      </x:c>
      <x:c r="F110" s="22" t="n">
        <x:v>595</x:v>
      </x:c>
      <x:c r="G110" s="22" t="str">
        <x:v>CAMINHOS DA LAPA CONDOMÍNIO JERIVÁS</x:v>
      </x:c>
      <x:c r="H110" s="22" t="str">
        <x:v>CAMINHOS DA LAPA CONDOMÍNIO JERIVÁS</x:v>
      </x:c>
      <x:c r="I110" s="22" t="str">
        <x:v>Confirmado</x:v>
      </x:c>
      <x:c r="J110" s="22" t="str">
        <x:v>ativo</x:v>
      </x:c>
      <x:c r="K110" s="39" t="str">
        <x:v>41.238.935/0001-98</x:v>
      </x:c>
      <x:c r="L110" s="39" t="str">
        <x:v>222</x:v>
      </x:c>
      <x:c r="M110" s="39" t="str">
        <x:v>A1</x:v>
      </x:c>
      <x:c r="N110" s="38" t="str">
        <x:v>10/06/2026	</x:v>
      </x:c>
      <x:c r="O110" s="40" t="n">
        <x:v>2209.79</x:v>
      </x:c>
      <x:c r="P110" s="22" t="str">
        <x:v>Sem andamento registrado</x:v>
      </x:c>
      <x:c r="Q110" s="22" t="str"/>
    </x:row>
    <x:row r="111">
      <x:c r="A111" s="22" t="str">
        <x:v>Camila</x:v>
      </x:c>
      <x:c r="B111" s="22" t="n">
        <x:v>71</x:v>
      </x:c>
      <x:c r="C111" s="38" t="n">
        <x:v>46253</x:v>
      </x:c>
      <x:c r="D111" s="22" t="str">
        <x:v>GRAICHE</x:v>
      </x:c>
      <x:c r="E111" s="22" t="n">
        <x:v>3</x:v>
      </x:c>
      <x:c r="F111" s="22" t="n">
        <x:v>595</x:v>
      </x:c>
      <x:c r="G111" s="22" t="str">
        <x:v>CAMINHOS DA LAPA CONDOMÍNIO JERIVÁS</x:v>
      </x:c>
      <x:c r="H111" s="22" t="str">
        <x:v>CAMINHOS DA LAPA CONDOMÍNIO JERIVÁS</x:v>
      </x:c>
      <x:c r="I111" s="22" t="str">
        <x:v>Confirmado</x:v>
      </x:c>
      <x:c r="J111" s="22" t="str">
        <x:v>ativo</x:v>
      </x:c>
      <x:c r="K111" s="39" t="str">
        <x:v>41.238.935/0001-98</x:v>
      </x:c>
      <x:c r="L111" s="39" t="str">
        <x:v>252</x:v>
      </x:c>
      <x:c r="M111" s="39" t="str">
        <x:v>A1</x:v>
      </x:c>
      <x:c r="N111" s="38" t="str">
        <x:v>10/06/2026	</x:v>
      </x:c>
      <x:c r="O111" s="40" t="n">
        <x:v>2083.55</x:v>
      </x:c>
      <x:c r="P111" s="22" t="str">
        <x:v>Sem andamento registrado</x:v>
      </x:c>
      <x:c r="Q111" s="22" t="str"/>
    </x:row>
    <x:row r="112">
      <x:c r="A112" s="22" t="str">
        <x:v>Camila</x:v>
      </x:c>
      <x:c r="B112" s="22" t="n">
        <x:v>72</x:v>
      </x:c>
      <x:c r="C112" s="38" t="n">
        <x:v>46253</x:v>
      </x:c>
      <x:c r="D112" s="22" t="str">
        <x:v>GRAICHE</x:v>
      </x:c>
      <x:c r="E112" s="22" t="n">
        <x:v>3</x:v>
      </x:c>
      <x:c r="F112" s="22" t="n">
        <x:v>595</x:v>
      </x:c>
      <x:c r="G112" s="22" t="str">
        <x:v>CAMINHOS DA LAPA CONDOMÍNIO JERIVÁS</x:v>
      </x:c>
      <x:c r="H112" s="22" t="str">
        <x:v>CAMINHOS DA LAPA CONDOMÍNIO JERIVÁS</x:v>
      </x:c>
      <x:c r="I112" s="22" t="str">
        <x:v>Confirmado</x:v>
      </x:c>
      <x:c r="J112" s="22" t="str">
        <x:v>ativo</x:v>
      </x:c>
      <x:c r="K112" s="39" t="str">
        <x:v>41.238.935/0001-98</x:v>
      </x:c>
      <x:c r="L112" s="39" t="str">
        <x:v>62</x:v>
      </x:c>
      <x:c r="M112" s="39" t="str">
        <x:v>B4</x:v>
      </x:c>
      <x:c r="N112" s="38" t="str">
        <x:v>10/06/2026	</x:v>
      </x:c>
      <x:c r="O112" s="40" t="n">
        <x:v>1799.22</x:v>
      </x:c>
      <x:c r="P112" s="22" t="str">
        <x:v>Sem andamento registrado</x:v>
      </x:c>
      <x:c r="Q112" s="22" t="str"/>
    </x:row>
    <x:row r="113">
      <x:c r="A113" s="22" t="str">
        <x:v>Camila</x:v>
      </x:c>
      <x:c r="B113" s="22" t="n">
        <x:v>73</x:v>
      </x:c>
      <x:c r="C113" s="38" t="n">
        <x:v>46251</x:v>
      </x:c>
      <x:c r="D113" s="22" t="str">
        <x:v>MANAGER</x:v>
      </x:c>
      <x:c r="E113" s="22" t="n">
        <x:v>3</x:v>
      </x:c>
      <x:c r="F113" s="22" t="n">
        <x:v>2262</x:v>
      </x:c>
      <x:c r="G113" s="22" t="str">
        <x:v>CONDOMÍNIO EDIFÍCIO OASIS</x:v>
      </x:c>
      <x:c r="H113" s="22" t="str">
        <x:v>CONDOMÍNIO EDIFÍCIO OASIS</x:v>
      </x:c>
      <x:c r="I113" s="22" t="str">
        <x:v>Confirmado</x:v>
      </x:c>
      <x:c r="J113" s="22" t="str">
        <x:v>ativo</x:v>
      </x:c>
      <x:c r="K113" s="39" t="str">
        <x:v>10.933.934/0001-30</x:v>
      </x:c>
      <x:c r="L113" s="39" t="str">
        <x:v>A00115</x:v>
      </x:c>
      <x:c r="M113" s="39" t="str">
        <x:v>A</x:v>
      </x:c>
      <x:c r="N113" s="38" t="str">
        <x:v>05/07/2026</x:v>
      </x:c>
      <x:c r="O113" s="40" t="n">
        <x:v>1182.63</x:v>
      </x:c>
      <x:c r="P113" s="22" t="str">
        <x:v>Cobrança realizada</x:v>
      </x:c>
      <x:c r="Q113" s="22" t="str">
        <x:v>Cobrança realizada dia 20/08 por email</x:v>
      </x:c>
    </x:row>
    <x:row r="114">
      <x:c r="A114" s="22" t="str">
        <x:v>Camila</x:v>
      </x:c>
      <x:c r="B114" s="22" t="n">
        <x:v>74</x:v>
      </x:c>
      <x:c r="C114" s="38" t="n">
        <x:v>46251</x:v>
      </x:c>
      <x:c r="D114" s="22" t="str">
        <x:v>MANAGER</x:v>
      </x:c>
      <x:c r="E114" s="22" t="n">
        <x:v>3</x:v>
      </x:c>
      <x:c r="F114" s="22" t="n">
        <x:v>2262</x:v>
      </x:c>
      <x:c r="G114" s="22" t="str">
        <x:v>CONDOMÍNIO EDIFÍCIO OASIS</x:v>
      </x:c>
      <x:c r="H114" s="22" t="str">
        <x:v>CONDOMÍNIO EDIFÍCIO OASIS</x:v>
      </x:c>
      <x:c r="I114" s="22" t="str">
        <x:v>Confirmado</x:v>
      </x:c>
      <x:c r="J114" s="22" t="str">
        <x:v>ativo</x:v>
      </x:c>
      <x:c r="K114" s="39" t="str">
        <x:v>10.933.934/0001-30</x:v>
      </x:c>
      <x:c r="L114" s="39" t="str">
        <x:v>B00071</x:v>
      </x:c>
      <x:c r="M114" s="39" t="str">
        <x:v>B</x:v>
      </x:c>
      <x:c r="N114" s="38" t="str">
        <x:v>05/07/2026</x:v>
      </x:c>
      <x:c r="O114" s="40" t="n">
        <x:v>1222</x:v>
      </x:c>
      <x:c r="P114" s="22" t="str">
        <x:v>Com acordo</x:v>
      </x:c>
      <x:c r="Q114" s="22" t="str">
        <x:v>Cobranla realizada dia 20/08 por email  e por whatsapp | Acordo realizado dia 20/08 referente as cotas e enviado para o email micardozo@hotmail.com com o vencimento para o dia 24/08</x:v>
      </x:c>
    </x:row>
    <x:row r="115">
      <x:c r="A115" s="22" t="str">
        <x:v>Camila</x:v>
      </x:c>
      <x:c r="B115" s="22" t="n">
        <x:v>75</x:v>
      </x:c>
      <x:c r="C115" s="38" t="n">
        <x:v>46251</x:v>
      </x:c>
      <x:c r="D115" s="22" t="str">
        <x:v>MANAGER</x:v>
      </x:c>
      <x:c r="E115" s="22" t="n">
        <x:v>3</x:v>
      </x:c>
      <x:c r="F115" s="22" t="n">
        <x:v>2262</x:v>
      </x:c>
      <x:c r="G115" s="22" t="str">
        <x:v>CONDOMÍNIO EDIFÍCIO OASIS</x:v>
      </x:c>
      <x:c r="H115" s="22" t="str">
        <x:v>CONDOMÍNIO EDIFÍCIO OASIS</x:v>
      </x:c>
      <x:c r="I115" s="22" t="str">
        <x:v>Confirmado</x:v>
      </x:c>
      <x:c r="J115" s="22" t="str">
        <x:v>ativo</x:v>
      </x:c>
      <x:c r="K115" s="39" t="str">
        <x:v>10.933.934/0001-30</x:v>
      </x:c>
      <x:c r="L115" s="39" t="str">
        <x:v>C00035</x:v>
      </x:c>
      <x:c r="M115" s="39" t="str">
        <x:v>C</x:v>
      </x:c>
      <x:c r="N115" s="38" t="str">
        <x:v>05/07/2026</x:v>
      </x:c>
      <x:c r="O115" s="40" t="n">
        <x:v>1372.22</x:v>
      </x:c>
      <x:c r="P115" s="22" t="str">
        <x:v>Sem andamento registrado</x:v>
      </x:c>
      <x:c r="Q115" s="22" t="str">
        <x:v>Cobranla realizada dia 19/08 por email</x:v>
      </x:c>
    </x:row>
    <x:row r="116">
      <x:c r="A116" s="22" t="str">
        <x:v>Camila</x:v>
      </x:c>
      <x:c r="B116" s="22" t="n">
        <x:v>76</x:v>
      </x:c>
      <x:c r="C116" s="38" t="n">
        <x:v>46251</x:v>
      </x:c>
      <x:c r="D116" s="22" t="str">
        <x:v>MANAGER</x:v>
      </x:c>
      <x:c r="E116" s="22" t="n">
        <x:v>3</x:v>
      </x:c>
      <x:c r="F116" s="22" t="n">
        <x:v>2262</x:v>
      </x:c>
      <x:c r="G116" s="22" t="str">
        <x:v>CONDOMÍNIO EDIFÍCIO OASIS</x:v>
      </x:c>
      <x:c r="H116" s="22" t="str">
        <x:v>CONDOMÍNIO EDIFÍCIO OASIS</x:v>
      </x:c>
      <x:c r="I116" s="22" t="str">
        <x:v>Confirmado</x:v>
      </x:c>
      <x:c r="J116" s="22" t="str">
        <x:v>ativo</x:v>
      </x:c>
      <x:c r="K116" s="39" t="str">
        <x:v>10.933.934/0001-30</x:v>
      </x:c>
      <x:c r="L116" s="39" t="str">
        <x:v>C00041</x:v>
      </x:c>
      <x:c r="M116" s="39" t="str">
        <x:v>C</x:v>
      </x:c>
      <x:c r="N116" s="38" t="str">
        <x:v>05/07/2026</x:v>
      </x:c>
      <x:c r="O116" s="40" t="n">
        <x:v>1088.1</x:v>
      </x:c>
      <x:c r="P116" s="22" t="str">
        <x:v>Sem andamento registrado</x:v>
      </x:c>
      <x:c r="Q116" s="22" t="str">
        <x:v>enviei proposta por email dia 20/08</x:v>
      </x:c>
    </x:row>
    <x:row r="117">
      <x:c r="A117" s="22" t="str">
        <x:v>Camila</x:v>
      </x:c>
      <x:c r="B117" s="22" t="n">
        <x:v>77</x:v>
      </x:c>
      <x:c r="C117" s="38" t="n">
        <x:v>46251</x:v>
      </x:c>
      <x:c r="D117" s="22" t="str">
        <x:v>MANAGER</x:v>
      </x:c>
      <x:c r="E117" s="22" t="n">
        <x:v>3</x:v>
      </x:c>
      <x:c r="F117" s="22" t="n">
        <x:v>2262</x:v>
      </x:c>
      <x:c r="G117" s="22" t="str">
        <x:v>CONDOMÍNIO EDIFÍCIO OASIS</x:v>
      </x:c>
      <x:c r="H117" s="22" t="str">
        <x:v>CONDOMÍNIO EDIFÍCIO OASIS</x:v>
      </x:c>
      <x:c r="I117" s="22" t="str">
        <x:v>Confirmado</x:v>
      </x:c>
      <x:c r="J117" s="22" t="str">
        <x:v>ativo</x:v>
      </x:c>
      <x:c r="K117" s="39" t="str">
        <x:v>10.933.934/0001-30</x:v>
      </x:c>
      <x:c r="L117" s="39" t="str">
        <x:v>C00072</x:v>
      </x:c>
      <x:c r="M117" s="39" t="str">
        <x:v>C</x:v>
      </x:c>
      <x:c r="N117" s="38" t="str">
        <x:v>05/07/2026</x:v>
      </x:c>
      <x:c r="O117" s="40" t="n">
        <x:v>1240.64</x:v>
      </x:c>
      <x:c r="P117" s="22" t="str">
        <x:v>Cobrança realizada</x:v>
      </x:c>
      <x:c r="Q117" s="22" t="str">
        <x:v>Cobranla realizada dia 20/08 por email  e por whatsapp</x:v>
      </x:c>
    </x:row>
    <x:row r="118">
      <x:c r="A118" s="22" t="str">
        <x:v>Camila</x:v>
      </x:c>
      <x:c r="B118" s="22" t="n">
        <x:v>78</x:v>
      </x:c>
      <x:c r="C118" s="38" t="n">
        <x:v>46251</x:v>
      </x:c>
      <x:c r="D118" s="22" t="str">
        <x:v>MANAGER</x:v>
      </x:c>
      <x:c r="E118" s="22" t="n">
        <x:v>3</x:v>
      </x:c>
      <x:c r="F118" s="22" t="n">
        <x:v>2262</x:v>
      </x:c>
      <x:c r="G118" s="22" t="str">
        <x:v>CONDOMÍNIO EDIFÍCIO OASIS</x:v>
      </x:c>
      <x:c r="H118" s="22" t="str">
        <x:v>CONDOMÍNIO EDIFÍCIO OASIS</x:v>
      </x:c>
      <x:c r="I118" s="22" t="str">
        <x:v>Confirmado</x:v>
      </x:c>
      <x:c r="J118" s="22" t="str">
        <x:v>ativo</x:v>
      </x:c>
      <x:c r="K118" s="39" t="str">
        <x:v>10.933.934/0001-30</x:v>
      </x:c>
      <x:c r="L118" s="39" t="str">
        <x:v>C00154</x:v>
      </x:c>
      <x:c r="M118" s="39" t="str">
        <x:v>C</x:v>
      </x:c>
      <x:c r="N118" s="38" t="str">
        <x:v>05/07/2026</x:v>
      </x:c>
      <x:c r="O118" s="40" t="n">
        <x:v>2545.06</x:v>
      </x:c>
      <x:c r="P118" s="22" t="str">
        <x:v>Com acordo</x:v>
      </x:c>
      <x:c r="Q118" s="22" t="str">
        <x:v>Cobrança realizada dia 19/08 por email e por whatsapp | Acordo realizado dia 20/08 referente a cota de 07/26 e enviado para o email l2000vieira@gmail.com com o vencimento para o dia 24/08</x:v>
      </x:c>
    </x:row>
    <x:row r="119">
      <x:c r="A119" s="22" t="str">
        <x:v>Camila</x:v>
      </x:c>
      <x:c r="B119" s="22" t="n">
        <x:v>79</x:v>
      </x:c>
      <x:c r="C119" s="38" t="n">
        <x:v>46251</x:v>
      </x:c>
      <x:c r="D119" s="22" t="str">
        <x:v>MANAGER</x:v>
      </x:c>
      <x:c r="E119" s="22" t="n">
        <x:v>3</x:v>
      </x:c>
      <x:c r="F119" s="22" t="n">
        <x:v>2065</x:v>
      </x:c>
      <x:c r="G119" s="22" t="str">
        <x:v>CONDOMÍNIO MAISON D'ORSAY</x:v>
      </x:c>
      <x:c r="H119" s="22" t="str">
        <x:v>CONDOMÍNIO MAISON D'ORSAY</x:v>
      </x:c>
      <x:c r="I119" s="22" t="str">
        <x:v>Confirmado</x:v>
      </x:c>
      <x:c r="J119" s="22" t="str">
        <x:v>ativo</x:v>
      </x:c>
      <x:c r="K119" s="39" t="str">
        <x:v>07.439.062/0001-43</x:v>
      </x:c>
      <x:c r="L119" s="39" t="str">
        <x:v>54</x:v>
      </x:c>
      <x:c r="M119" s="39" t="str">
        <x:v>0</x:v>
      </x:c>
      <x:c r="N119" s="38" t="n">
        <x:v>46180</x:v>
      </x:c>
      <x:c r="O119" s="40" t="n">
        <x:v>1896.94</x:v>
      </x:c>
      <x:c r="P119" s="22" t="str">
        <x:v>Com acordo</x:v>
      </x:c>
      <x:c r="Q119" s="22" t="str">
        <x:v>Cobrança realizada dia 20/08 por email e por whatsapp | Acordo realizado dia 21/08 referente a cota de 06/26 e enviado para o email leticiaitaira@gmail.com com o vencimento para o dia 24/08</x:v>
      </x:c>
    </x:row>
    <x:row r="120">
      <x:c r="A120" s="22" t="str">
        <x:v>Camila</x:v>
      </x:c>
      <x:c r="B120" s="22" t="n">
        <x:v>80</x:v>
      </x:c>
      <x:c r="C120" s="38" t="n">
        <x:v>46251</x:v>
      </x:c>
      <x:c r="D120" s="22" t="str">
        <x:v>MANAGER</x:v>
      </x:c>
      <x:c r="E120" s="22" t="n">
        <x:v>3</x:v>
      </x:c>
      <x:c r="F120" s="22" t="n">
        <x:v>458</x:v>
      </x:c>
      <x:c r="G120" s="22" t="str">
        <x:v>CONDOMÍNIO RAIZES DA MATA</x:v>
      </x:c>
      <x:c r="H120" s="22" t="str">
        <x:v>CONDOMÍNIO RAIZES DA MATA</x:v>
      </x:c>
      <x:c r="I120" s="22" t="str">
        <x:v>Confirmado</x:v>
      </x:c>
      <x:c r="J120" s="22" t="str">
        <x:v>ativo</x:v>
      </x:c>
      <x:c r="K120" s="39" t="str">
        <x:v>08.422.331/0001-21</x:v>
      </x:c>
      <x:c r="L120" s="39" t="str">
        <x:v>22</x:v>
      </x:c>
      <x:c r="M120" s="39" t="str">
        <x:v>A</x:v>
      </x:c>
      <x:c r="N120" s="38" t="n">
        <x:v>46147</x:v>
      </x:c>
      <x:c r="O120" s="40" t="n">
        <x:v>3359.33</x:v>
      </x:c>
      <x:c r="P120" s="22" t="str">
        <x:v>Cobrança realizada</x:v>
      </x:c>
      <x:c r="Q120" s="22" t="str">
        <x:v>Cobrança realizada dia 20/08 por email e por whatsapp</x:v>
      </x:c>
    </x:row>
    <x:row r="121">
      <x:c r="A121" s="22" t="str">
        <x:v>Camila</x:v>
      </x:c>
      <x:c r="B121" s="22" t="n">
        <x:v>81</x:v>
      </x:c>
      <x:c r="C121" s="38" t="n">
        <x:v>46251</x:v>
      </x:c>
      <x:c r="D121" s="22" t="str">
        <x:v>MANAGER</x:v>
      </x:c>
      <x:c r="E121" s="22" t="n">
        <x:v>3</x:v>
      </x:c>
      <x:c r="F121" s="22" t="n">
        <x:v>534</x:v>
      </x:c>
      <x:c r="G121" s="22" t="str">
        <x:v>CONDOMÍNIO CYRELA ON THE PARC BY YOO RESIDENCES</x:v>
      </x:c>
      <x:c r="H121" s="22" t="str">
        <x:v>CONDOMÍNIO CYRELA THE PARC BY YOO RESIDENCES</x:v>
      </x:c>
      <x:c r="I121" s="22" t="str">
        <x:v>Provável</x:v>
      </x:c>
      <x:c r="J121" s="22" t="str">
        <x:v>ativo</x:v>
      </x:c>
      <x:c r="K121" s="39" t="str">
        <x:v>54.588.992/0001-49</x:v>
      </x:c>
      <x:c r="L121" s="39" t="str">
        <x:v>31</x:v>
      </x:c>
      <x:c r="M121" s="39" t="str">
        <x:v>A</x:v>
      </x:c>
      <x:c r="N121" s="38" t="n">
        <x:v>46178</x:v>
      </x:c>
      <x:c r="O121" s="40" t="n">
        <x:v>7356.8</x:v>
      </x:c>
      <x:c r="P121" s="22" t="str">
        <x:v>Com acordo</x:v>
      </x:c>
      <x:c r="Q121" s="22" t="str">
        <x:v>Cobrança enviada dia 19/08 por email e whatsapp | Acordo realizado dia 20/08 referente a cota de 06/2026 e enviado para o email digob@uol.com.br com o vencimento para o dia 25/08</x:v>
      </x:c>
    </x:row>
    <x:row r="122">
      <x:c r="A122" s="22" t="str">
        <x:v>Camila</x:v>
      </x:c>
      <x:c r="B122" s="22" t="n">
        <x:v>82</x:v>
      </x:c>
      <x:c r="C122" s="38" t="n">
        <x:v>46251</x:v>
      </x:c>
      <x:c r="D122" s="22" t="str">
        <x:v>MANAGER</x:v>
      </x:c>
      <x:c r="E122" s="22" t="n">
        <x:v>3</x:v>
      </x:c>
      <x:c r="F122" s="22" t="n">
        <x:v>534</x:v>
      </x:c>
      <x:c r="G122" s="22" t="str">
        <x:v>CONDOMÍNIO CYRELA ON THE PARC BY YOO RESIDENCES</x:v>
      </x:c>
      <x:c r="H122" s="22" t="str">
        <x:v>CONDOMÍNIO CYRELA THE PARC BY YOO RESIDENCES</x:v>
      </x:c>
      <x:c r="I122" s="22" t="str">
        <x:v>Provável</x:v>
      </x:c>
      <x:c r="J122" s="22" t="str">
        <x:v>ativo</x:v>
      </x:c>
      <x:c r="K122" s="39" t="str">
        <x:v>54.588.992/0001-49</x:v>
      </x:c>
      <x:c r="L122" s="39" t="str">
        <x:v>51</x:v>
      </x:c>
      <x:c r="M122" s="39" t="str">
        <x:v>A</x:v>
      </x:c>
      <x:c r="N122" s="38" t="n">
        <x:v>46178</x:v>
      </x:c>
      <x:c r="O122" s="40" t="n">
        <x:v>7356.8</x:v>
      </x:c>
      <x:c r="P122" s="22" t="str">
        <x:v>Cobrança realizada</x:v>
      </x:c>
      <x:c r="Q122" s="22" t="str">
        <x:v>Cobrança enviada dia 19/08 por email e whatsapp</x:v>
      </x:c>
    </x:row>
    <x:row r="123">
      <x:c r="A123" s="22" t="str">
        <x:v>Camila</x:v>
      </x:c>
      <x:c r="B123" s="22" t="n">
        <x:v>83</x:v>
      </x:c>
      <x:c r="C123" s="38" t="n">
        <x:v>46251</x:v>
      </x:c>
      <x:c r="D123" s="22" t="str">
        <x:v>GRAICHE</x:v>
      </x:c>
      <x:c r="E123" s="22" t="n">
        <x:v>3</x:v>
      </x:c>
      <x:c r="F123" s="22" t="n">
        <x:v>18</x:v>
      </x:c>
      <x:c r="G123" s="22" t="str">
        <x:v>CONDOMINIO Elo &amp; Elo Duo Caminhos da Lapa - Setor 2 - Residencial (Torre A - Elo Caminhos da Lapa);</x:v>
      </x:c>
      <x:c r="H123" s="22" t="str">
        <x:v>CONDOMÍNIO ELO &amp; ELO DUO CAMINHOS DA LAPA SETOR 2 RESIDENCIAL TORRE A</x:v>
      </x:c>
      <x:c r="I123" s="22" t="str">
        <x:v>Confirmado</x:v>
      </x:c>
      <x:c r="J123" s="22" t="str">
        <x:v>ativo</x:v>
      </x:c>
      <x:c r="K123" s="39" t="str">
        <x:v>54.405.702/0002-65</x:v>
      </x:c>
      <x:c r="L123" s="39" t="str">
        <x:v>501</x:v>
      </x:c>
      <x:c r="M123" s="39" t="str">
        <x:v>A</x:v>
      </x:c>
      <x:c r="N123" s="38" t="str">
        <x:v>10/07/2026	</x:v>
      </x:c>
      <x:c r="O123" s="40" t="n">
        <x:v>960.42</x:v>
      </x:c>
      <x:c r="P123" s="22" t="str">
        <x:v>Sem andamento registrado</x:v>
      </x:c>
      <x:c r="Q123" s="22" t="str"/>
    </x:row>
    <x:row r="124">
      <x:c r="A124" s="22" t="str">
        <x:v>Camila</x:v>
      </x:c>
      <x:c r="B124" s="22" t="n">
        <x:v>84</x:v>
      </x:c>
      <x:c r="C124" s="38" t="n">
        <x:v>46251</x:v>
      </x:c>
      <x:c r="D124" s="22" t="str">
        <x:v>GRAICHE</x:v>
      </x:c>
      <x:c r="E124" s="22" t="n">
        <x:v>3</x:v>
      </x:c>
      <x:c r="F124" s="22" t="n">
        <x:v>18</x:v>
      </x:c>
      <x:c r="G124" s="22" t="str">
        <x:v>CONDOMINIO Elo &amp; Elo Duo Caminhos da Lapa - Setor 2 - Residencial (Torre A - Elo Caminhos da Lapa);</x:v>
      </x:c>
      <x:c r="H124" s="22" t="str">
        <x:v>CONDOMÍNIO ELO &amp; ELO DUO CAMINHOS DA LAPA SETOR 2 RESIDENCIAL TORRE A</x:v>
      </x:c>
      <x:c r="I124" s="22" t="str">
        <x:v>Confirmado</x:v>
      </x:c>
      <x:c r="J124" s="22" t="str">
        <x:v>ativo</x:v>
      </x:c>
      <x:c r="K124" s="39" t="str">
        <x:v>54.405.702/0002-65</x:v>
      </x:c>
      <x:c r="L124" s="39" t="str">
        <x:v>608</x:v>
      </x:c>
      <x:c r="M124" s="39" t="str">
        <x:v>A</x:v>
      </x:c>
      <x:c r="N124" s="38" t="str">
        <x:v>10/07/2026	</x:v>
      </x:c>
      <x:c r="O124" s="40" t="n">
        <x:v>1109.74</x:v>
      </x:c>
      <x:c r="P124" s="22" t="str">
        <x:v>Com acordo</x:v>
      </x:c>
      <x:c r="Q124" s="22" t="str">
        <x:v>Cobrança realizada dia 20/08/ por email e por whatsapp | Acordo realizado dia 24/08 referente a cota 07/26 e enviado para o email B.ferrazmarques@gmail.com com o vencimento para o dia 26/08</x:v>
      </x:c>
    </x:row>
    <x:row r="125">
      <x:c r="A125" s="22" t="str">
        <x:v>Camila</x:v>
      </x:c>
      <x:c r="B125" s="22" t="n">
        <x:v>85</x:v>
      </x:c>
      <x:c r="C125" s="38" t="n">
        <x:v>46251</x:v>
      </x:c>
      <x:c r="D125" s="22" t="str">
        <x:v>GRAICHE</x:v>
      </x:c>
      <x:c r="E125" s="22" t="n">
        <x:v>3</x:v>
      </x:c>
      <x:c r="F125" s="22" t="n">
        <x:v>18</x:v>
      </x:c>
      <x:c r="G125" s="22" t="str">
        <x:v>CONDOMINIO Elo &amp; Elo Duo Caminhos da Lapa - Setor 2 - Residencial (Torre A - Elo Caminhos da Lapa);</x:v>
      </x:c>
      <x:c r="H125" s="22" t="str">
        <x:v>CONDOMÍNIO ELO &amp; ELO DUO CAMINHOS DA LAPA SETOR 2 RESIDENCIAL TORRE A</x:v>
      </x:c>
      <x:c r="I125" s="22" t="str">
        <x:v>Confirmado</x:v>
      </x:c>
      <x:c r="J125" s="22" t="str">
        <x:v>ativo</x:v>
      </x:c>
      <x:c r="K125" s="39" t="str">
        <x:v>54.405.702/0002-65</x:v>
      </x:c>
      <x:c r="L125" s="39" t="str">
        <x:v>703</x:v>
      </x:c>
      <x:c r="M125" s="39" t="str">
        <x:v>A</x:v>
      </x:c>
      <x:c r="N125" s="38" t="str">
        <x:v>10/07/2026	</x:v>
      </x:c>
      <x:c r="O125" s="40" t="n">
        <x:v>1109.74</x:v>
      </x:c>
      <x:c r="P125" s="22" t="str">
        <x:v>Com acordo</x:v>
      </x:c>
      <x:c r="Q125" s="22" t="str">
        <x:v>Acordo realizado dia 20/08 referente a cota de 07/26 e enviado para o email camila.tofeti@gmail.com com o vencimento para o dia 25/08</x:v>
      </x:c>
    </x:row>
    <x:row r="126">
      <x:c r="A126" s="22" t="str">
        <x:v>Camila</x:v>
      </x:c>
      <x:c r="B126" s="22" t="n">
        <x:v>86</x:v>
      </x:c>
      <x:c r="C126" s="38" t="n">
        <x:v>46251</x:v>
      </x:c>
      <x:c r="D126" s="22" t="str">
        <x:v>GRAICHE</x:v>
      </x:c>
      <x:c r="E126" s="22" t="n">
        <x:v>3</x:v>
      </x:c>
      <x:c r="F126" s="22" t="n">
        <x:v>18</x:v>
      </x:c>
      <x:c r="G126" s="22" t="str">
        <x:v>CONDOMINIO Elo &amp; Elo Duo Caminhos da Lapa - Setor 2 - Residencial (Torre A - Elo Caminhos da Lapa);</x:v>
      </x:c>
      <x:c r="H126" s="22" t="str">
        <x:v>CONDOMÍNIO ELO &amp; ELO DUO CAMINHOS DA LAPA SETOR 2 RESIDENCIAL TORRE A</x:v>
      </x:c>
      <x:c r="I126" s="22" t="str">
        <x:v>Confirmado</x:v>
      </x:c>
      <x:c r="J126" s="22" t="str">
        <x:v>ativo</x:v>
      </x:c>
      <x:c r="K126" s="39" t="str">
        <x:v>54.405.702/0002-65</x:v>
      </x:c>
      <x:c r="L126" s="39" t="str">
        <x:v>808</x:v>
      </x:c>
      <x:c r="M126" s="39" t="str">
        <x:v>A</x:v>
      </x:c>
      <x:c r="N126" s="38" t="str">
        <x:v>10/07/2026	</x:v>
      </x:c>
      <x:c r="O126" s="40" t="n">
        <x:v>1109.74</x:v>
      </x:c>
      <x:c r="P126" s="22" t="str">
        <x:v>Com acordo</x:v>
      </x:c>
      <x:c r="Q126" s="22" t="str">
        <x:v>Cobrança realizada dia 20/08/ por email e por whatsapp | Acordo  realizado dia 24/08 referente a cota de 07/26 e enviado para o email icm3004@yahoo.com.br com o vencimento para o dia 26/08</x:v>
      </x:c>
    </x:row>
    <x:row r="127">
      <x:c r="A127" s="22" t="str">
        <x:v>Camila</x:v>
      </x:c>
      <x:c r="B127" s="22" t="n">
        <x:v>87</x:v>
      </x:c>
      <x:c r="C127" s="38" t="n">
        <x:v>46251</x:v>
      </x:c>
      <x:c r="D127" s="22" t="str">
        <x:v>GRAICHE</x:v>
      </x:c>
      <x:c r="E127" s="22" t="n">
        <x:v>3</x:v>
      </x:c>
      <x:c r="F127" s="22" t="n">
        <x:v>18</x:v>
      </x:c>
      <x:c r="G127" s="22" t="str">
        <x:v>CONDOMINIO Elo &amp; Elo Duo Caminhos da Lapa - Setor 2 - Residencial (Torre A - Elo Caminhos da Lapa);</x:v>
      </x:c>
      <x:c r="H127" s="22" t="str">
        <x:v>CONDOMÍNIO ELO &amp; ELO DUO CAMINHOS DA LAPA SETOR 2 RESIDENCIAL TORRE A</x:v>
      </x:c>
      <x:c r="I127" s="22" t="str">
        <x:v>Confirmado</x:v>
      </x:c>
      <x:c r="J127" s="22" t="str">
        <x:v>ativo</x:v>
      </x:c>
      <x:c r="K127" s="39" t="str">
        <x:v>54.405.702/0002-65</x:v>
      </x:c>
      <x:c r="L127" s="39" t="str">
        <x:v>908</x:v>
      </x:c>
      <x:c r="M127" s="39" t="str">
        <x:v>A</x:v>
      </x:c>
      <x:c r="N127" s="38" t="str">
        <x:v>10/07/2026	</x:v>
      </x:c>
      <x:c r="O127" s="40" t="n">
        <x:v>1109.74</x:v>
      </x:c>
      <x:c r="P127" s="22" t="str">
        <x:v>Com acordo</x:v>
      </x:c>
      <x:c r="Q127" s="22" t="str">
        <x:v>Cobrança realizada dia 20/08/ por email e por whatsapp | Acordo realizado dia 24/08 referente a cota 07/26 e enviado para o email B.ferrazmarques@gmail.com com o vencimento para o dia 26/08</x:v>
      </x:c>
    </x:row>
    <x:row r="128">
      <x:c r="A128" s="22" t="str">
        <x:v>Camila</x:v>
      </x:c>
      <x:c r="B128" s="22" t="n">
        <x:v>88</x:v>
      </x:c>
      <x:c r="C128" s="38" t="n">
        <x:v>46251</x:v>
      </x:c>
      <x:c r="D128" s="22" t="str">
        <x:v>GRAICHE</x:v>
      </x:c>
      <x:c r="E128" s="22" t="n">
        <x:v>3</x:v>
      </x:c>
      <x:c r="F128" s="22" t="n">
        <x:v>18</x:v>
      </x:c>
      <x:c r="G128" s="22" t="str">
        <x:v>CONDOMINIO Elo &amp; Elo Duo Caminhos da Lapa - Setor 2 - Residencial (Torre A - Elo Caminhos da Lapa);</x:v>
      </x:c>
      <x:c r="H128" s="22" t="str">
        <x:v>CONDOMÍNIO ELO &amp; ELO DUO CAMINHOS DA LAPA SETOR 2 RESIDENCIAL TORRE A</x:v>
      </x:c>
      <x:c r="I128" s="22" t="str">
        <x:v>Confirmado</x:v>
      </x:c>
      <x:c r="J128" s="22" t="str">
        <x:v>ativo</x:v>
      </x:c>
      <x:c r="K128" s="39" t="str">
        <x:v>54.405.702/0002-65</x:v>
      </x:c>
      <x:c r="L128" s="39" t="str">
        <x:v>1802</x:v>
      </x:c>
      <x:c r="M128" s="39" t="str">
        <x:v>A</x:v>
      </x:c>
      <x:c r="N128" s="38" t="str">
        <x:v>10/07/2026	</x:v>
      </x:c>
      <x:c r="O128" s="40" t="n">
        <x:v>980.83</x:v>
      </x:c>
      <x:c r="P128" s="22" t="str">
        <x:v>Sem andamento registrado</x:v>
      </x:c>
      <x:c r="Q128" s="22" t="str"/>
    </x:row>
    <x:row r="129">
      <x:c r="A129" s="22" t="str">
        <x:v>Camila</x:v>
      </x:c>
      <x:c r="B129" s="22" t="n">
        <x:v>89</x:v>
      </x:c>
      <x:c r="C129" s="38" t="n">
        <x:v>46251</x:v>
      </x:c>
      <x:c r="D129" s="22" t="str">
        <x:v>HABITACIONAL</x:v>
      </x:c>
      <x:c r="E129" s="22" t="n">
        <x:v>3</x:v>
      </x:c>
      <x:c r="F129" s="22" t="n">
        <x:v>7243</x:v>
      </x:c>
      <x:c r="G129" s="22" t="str">
        <x:v>CONDOMÍNIO RESIDENCIAL MAIS ESTILO &amp; DESIGN MORUMBI</x:v>
      </x:c>
      <x:c r="H129" s="22" t="str">
        <x:v>CONDOMÍNIO RESIDENCIAL MAIS ESTILO &amp; DESIGN MORUMBI</x:v>
      </x:c>
      <x:c r="I129" s="22" t="str">
        <x:v>Confirmado</x:v>
      </x:c>
      <x:c r="J129" s="22" t="str">
        <x:v>ativo</x:v>
      </x:c>
      <x:c r="K129" s="39" t="str">
        <x:v>19.436.901/0001-59</x:v>
      </x:c>
      <x:c r="L129" s="39" t="str">
        <x:v>122</x:v>
      </x:c>
      <x:c r="M129" s="39" t="str">
        <x:v>1</x:v>
      </x:c>
      <x:c r="N129" s="38" t="str">
        <x:v>10/07/2026	</x:v>
      </x:c>
      <x:c r="O129" s="40" t="n">
        <x:v>1063.27</x:v>
      </x:c>
      <x:c r="P129" s="22" t="str">
        <x:v>Sem andamento registrado</x:v>
      </x:c>
      <x:c r="Q129" s="22" t="str"/>
    </x:row>
    <x:row r="130">
      <x:c r="A130" s="22" t="str">
        <x:v>Camila</x:v>
      </x:c>
      <x:c r="B130" s="22" t="n">
        <x:v>90</x:v>
      </x:c>
      <x:c r="C130" s="38" t="n">
        <x:v>46251</x:v>
      </x:c>
      <x:c r="D130" s="22" t="str">
        <x:v>HABITACIONAL</x:v>
      </x:c>
      <x:c r="E130" s="22" t="n">
        <x:v>3</x:v>
      </x:c>
      <x:c r="F130" s="22" t="n">
        <x:v>7243</x:v>
      </x:c>
      <x:c r="G130" s="22" t="str">
        <x:v>CONDOMÍNIO RESIDENCIAL MAIS ESTILO &amp; DESIGN MORUMBI</x:v>
      </x:c>
      <x:c r="H130" s="22" t="str">
        <x:v>CONDOMÍNIO RESIDENCIAL MAIS ESTILO &amp; DESIGN MORUMBI</x:v>
      </x:c>
      <x:c r="I130" s="22" t="str">
        <x:v>Confirmado</x:v>
      </x:c>
      <x:c r="J130" s="22" t="str">
        <x:v>ativo</x:v>
      </x:c>
      <x:c r="K130" s="39" t="str">
        <x:v>19.436.901/0001-59</x:v>
      </x:c>
      <x:c r="L130" s="39" t="str">
        <x:v>44</x:v>
      </x:c>
      <x:c r="M130" s="39" t="str">
        <x:v>2</x:v>
      </x:c>
      <x:c r="N130" s="38" t="n">
        <x:v>46152</x:v>
      </x:c>
      <x:c r="O130" s="40" t="n">
        <x:v>1761.08</x:v>
      </x:c>
      <x:c r="P130" s="22" t="str">
        <x:v>Sem andamento registrado</x:v>
      </x:c>
      <x:c r="Q130" s="22" t="str"/>
    </x:row>
    <x:row r="131">
      <x:c r="A131" s="22" t="str">
        <x:v>Camila</x:v>
      </x:c>
      <x:c r="B131" s="22" t="n">
        <x:v>91</x:v>
      </x:c>
      <x:c r="C131" s="38" t="n">
        <x:v>46251</x:v>
      </x:c>
      <x:c r="D131" s="22" t="str">
        <x:v>MANAGER</x:v>
      </x:c>
      <x:c r="E131" s="22" t="n">
        <x:v>3</x:v>
      </x:c>
      <x:c r="F131" s="22" t="n">
        <x:v>662</x:v>
      </x:c>
      <x:c r="G131" s="22" t="str">
        <x:v>CONDOMÍNIO CYRELA IBIRAPUERA BY YOO - SETOR RESIDENCIAL 2</x:v>
      </x:c>
      <x:c r="H131" s="22" t="str">
        <x:v>CONDOMÍNIO CYRELA IBIRAPUERA BY YOO - SETOR RESIDENCIAL 2</x:v>
      </x:c>
      <x:c r="I131" s="22" t="str">
        <x:v>Confirmado</x:v>
      </x:c>
      <x:c r="J131" s="22" t="str">
        <x:v>ativo</x:v>
      </x:c>
      <x:c r="K131" s="39" t="str">
        <x:v>49.109.007/0001-35</x:v>
      </x:c>
      <x:c r="L131" s="39" t="str">
        <x:v>000033</x:v>
      </x:c>
      <x:c r="M131" s="39" t="str">
        <x:v>0</x:v>
      </x:c>
      <x:c r="N131" s="38" t="str">
        <x:v>10/06/2026</x:v>
      </x:c>
      <x:c r="O131" s="40" t="n">
        <x:v>1607.97</x:v>
      </x:c>
      <x:c r="P131" s="22" t="str">
        <x:v>Com acordo</x:v>
      </x:c>
      <x:c r="Q131" s="22" t="str">
        <x:v>Cobrança realizada dia 20/08 por email e por whatsapp | Acordo realizado dia 20/08 referente a cota de 06/26 e enviado para o email fredsil47@yahoo.com.br com o vencimento para o dia 24/08</x:v>
      </x:c>
    </x:row>
    <x:row r="132">
      <x:c r="A132" s="22" t="str">
        <x:v>Camila</x:v>
      </x:c>
      <x:c r="B132" s="22" t="n">
        <x:v>92</x:v>
      </x:c>
      <x:c r="C132" s="38" t="n">
        <x:v>46251</x:v>
      </x:c>
      <x:c r="D132" s="22" t="str">
        <x:v>MANAGER</x:v>
      </x:c>
      <x:c r="E132" s="22" t="n">
        <x:v>3</x:v>
      </x:c>
      <x:c r="F132" s="22" t="n">
        <x:v>662</x:v>
      </x:c>
      <x:c r="G132" s="22" t="str">
        <x:v>CONDOMÍNIO CYRELA IBIRAPUERA BY YOO - SETOR RESIDENCIAL 2</x:v>
      </x:c>
      <x:c r="H132" s="22" t="str">
        <x:v>CONDOMÍNIO CYRELA IBIRAPUERA BY YOO - SETOR RESIDENCIAL 2</x:v>
      </x:c>
      <x:c r="I132" s="22" t="str">
        <x:v>Confirmado</x:v>
      </x:c>
      <x:c r="J132" s="22" t="str">
        <x:v>ativo</x:v>
      </x:c>
      <x:c r="K132" s="39" t="str">
        <x:v>49.109.007/0001-35</x:v>
      </x:c>
      <x:c r="L132" s="39" t="str">
        <x:v>000075</x:v>
      </x:c>
      <x:c r="M132" s="39" t="str">
        <x:v>0</x:v>
      </x:c>
      <x:c r="N132" s="38" t="str">
        <x:v>10/06/2026</x:v>
      </x:c>
      <x:c r="O132" s="40" t="n">
        <x:v>1352.27</x:v>
      </x:c>
      <x:c r="P132" s="22" t="str">
        <x:v>Com acordo</x:v>
      </x:c>
      <x:c r="Q132" s="22" t="str">
        <x:v>Cobrança realizada dia 20/08 por email e por whatsapp | Acordo realizado dia 20/08 referente as cotas em aberto com o vencimento para o dia 24/08 e enviado para o email Williansceroni24@gmail.com com o vencimento para o dia 24/08</x:v>
      </x:c>
    </x:row>
    <x:row r="133">
      <x:c r="A133" s="22" t="str">
        <x:v>Camila</x:v>
      </x:c>
      <x:c r="B133" s="22" t="n">
        <x:v>93</x:v>
      </x:c>
      <x:c r="C133" s="38" t="n">
        <x:v>46251</x:v>
      </x:c>
      <x:c r="D133" s="22" t="str">
        <x:v>MANAGER</x:v>
      </x:c>
      <x:c r="E133" s="22" t="n">
        <x:v>3</x:v>
      </x:c>
      <x:c r="F133" s="22" t="n">
        <x:v>662</x:v>
      </x:c>
      <x:c r="G133" s="22" t="str">
        <x:v>CONDOMÍNIO CYRELA IBIRAPUERA BY YOO - SETOR RESIDENCIAL 2</x:v>
      </x:c>
      <x:c r="H133" s="22" t="str">
        <x:v>CONDOMÍNIO CYRELA IBIRAPUERA BY YOO - SETOR RESIDENCIAL 2</x:v>
      </x:c>
      <x:c r="I133" s="22" t="str">
        <x:v>Confirmado</x:v>
      </x:c>
      <x:c r="J133" s="22" t="str">
        <x:v>ativo</x:v>
      </x:c>
      <x:c r="K133" s="39" t="str">
        <x:v>49.109.007/0001-35</x:v>
      </x:c>
      <x:c r="L133" s="39" t="str">
        <x:v>000142</x:v>
      </x:c>
      <x:c r="M133" s="39" t="str">
        <x:v>0</x:v>
      </x:c>
      <x:c r="N133" s="38" t="str">
        <x:v>10/06/2026</x:v>
      </x:c>
      <x:c r="O133" s="40" t="n">
        <x:v>1686.16</x:v>
      </x:c>
      <x:c r="P133" s="22" t="str">
        <x:v>Com acordo</x:v>
      </x:c>
      <x:c r="Q133" s="22" t="str">
        <x:v>Cobrança realizada dia 20/08 por email e por whatsapp | Acordo realizado dia 20/08 referente a cota 06/26 eenviado para o email Lucas.affonso@freedomai.com.br com o vencimento para o dia 24/08</x:v>
      </x:c>
    </x:row>
    <x:row r="134">
      <x:c r="A134" s="22" t="str">
        <x:v>Camila</x:v>
      </x:c>
      <x:c r="B134" s="22" t="n">
        <x:v>94</x:v>
      </x:c>
      <x:c r="C134" s="38" t="n">
        <x:v>46251</x:v>
      </x:c>
      <x:c r="D134" s="22" t="str">
        <x:v>MANAGER</x:v>
      </x:c>
      <x:c r="E134" s="22" t="n">
        <x:v>3</x:v>
      </x:c>
      <x:c r="F134" s="22" t="n">
        <x:v>662</x:v>
      </x:c>
      <x:c r="G134" s="22" t="str">
        <x:v>CONDOMÍNIO CYRELA IBIRAPUERA BY YOO - SETOR RESIDENCIAL 2</x:v>
      </x:c>
      <x:c r="H134" s="22" t="str">
        <x:v>CONDOMÍNIO CYRELA IBIRAPUERA BY YOO - SETOR RESIDENCIAL 2</x:v>
      </x:c>
      <x:c r="I134" s="22" t="str">
        <x:v>Confirmado</x:v>
      </x:c>
      <x:c r="J134" s="22" t="str">
        <x:v>ativo</x:v>
      </x:c>
      <x:c r="K134" s="39" t="str">
        <x:v>49.109.007/0001-35</x:v>
      </x:c>
      <x:c r="L134" s="39" t="str">
        <x:v>000235</x:v>
      </x:c>
      <x:c r="M134" s="39" t="str">
        <x:v>0</x:v>
      </x:c>
      <x:c r="N134" s="38" t="str">
        <x:v>10/06/2026</x:v>
      </x:c>
      <x:c r="O134" s="40" t="n">
        <x:v>1352.27</x:v>
      </x:c>
      <x:c r="P134" s="22" t="str">
        <x:v>Cobrança realizada</x:v>
      </x:c>
      <x:c r="Q134" s="22" t="str">
        <x:v>Cobrança realizada dia 20/08 por email e por whatsapp</x:v>
      </x:c>
    </x:row>
    <x:row r="135">
      <x:c r="A135" s="22" t="str">
        <x:v>Camila</x:v>
      </x:c>
      <x:c r="B135" s="22" t="n">
        <x:v>95</x:v>
      </x:c>
      <x:c r="C135" s="38" t="n">
        <x:v>46251</x:v>
      </x:c>
      <x:c r="D135" s="22" t="str">
        <x:v>MANAGER</x:v>
      </x:c>
      <x:c r="E135" s="22" t="n">
        <x:v>3</x:v>
      </x:c>
      <x:c r="F135" s="22" t="n">
        <x:v>664</x:v>
      </x:c>
      <x:c r="G135" s="22" t="str">
        <x:v>CONDOMÍNIO CYRELA IBIRAPUERA BY YOO - MEDPLEX</x:v>
      </x:c>
      <x:c r="H135" s="22" t="str">
        <x:v>CONDOMÍNIO CYRELA IBIRAPUERA BY YOO - MEDPLEX</x:v>
      </x:c>
      <x:c r="I135" s="22" t="str">
        <x:v>Confirmado</x:v>
      </x:c>
      <x:c r="J135" s="22" t="str">
        <x:v>ativo</x:v>
      </x:c>
      <x:c r="K135" s="39" t="str">
        <x:v>49.109.007/0003-05</x:v>
      </x:c>
      <x:c r="L135" s="39" t="str">
        <x:v>1501</x:v>
      </x:c>
      <x:c r="M135" s="39" t="str">
        <x:v>0</x:v>
      </x:c>
      <x:c r="N135" s="38" t="str">
        <x:v>10/06/2026</x:v>
      </x:c>
      <x:c r="O135" s="40" t="n">
        <x:v>1271.82</x:v>
      </x:c>
      <x:c r="P135" s="22" t="str">
        <x:v>Com acordo</x:v>
      </x:c>
      <x:c r="Q135" s="22" t="str">
        <x:v>Cobrança realizada dia 20/08 por email e por whatsapp | Acordo realizado dia 20/08 referente as cotas em aberto com o vencimento para o dia 24/08 e enviado para o email Williansceroni24@gmail.com com o vencimento para o dia 24/08</x:v>
      </x:c>
    </x:row>
    <x:row r="136">
      <x:c r="A136" s="22" t="str">
        <x:v>Camila</x:v>
      </x:c>
      <x:c r="B136" s="22" t="n">
        <x:v>96</x:v>
      </x:c>
      <x:c r="C136" s="38" t="n">
        <x:v>46252</x:v>
      </x:c>
      <x:c r="D136" s="22" t="str">
        <x:v>MANAGER</x:v>
      </x:c>
      <x:c r="E136" s="22" t="n">
        <x:v>3</x:v>
      </x:c>
      <x:c r="F136" s="22" t="n">
        <x:v>582</x:v>
      </x:c>
      <x:c r="G136" s="22" t="str">
        <x:v>ESTILO GRANJA VIANA CONDOMÍNIO</x:v>
      </x:c>
      <x:c r="H136" s="22" t="str">
        <x:v>ESTILO GRANJA VIANA CONDOMÍNIO</x:v>
      </x:c>
      <x:c r="I136" s="22" t="str">
        <x:v>Confirmado</x:v>
      </x:c>
      <x:c r="J136" s="22" t="str">
        <x:v>ativo</x:v>
      </x:c>
      <x:c r="K136" s="39" t="str">
        <x:v>24.169.107/0001-26</x:v>
      </x:c>
      <x:c r="L136" s="39" t="str">
        <x:v>45-03</x:v>
      </x:c>
      <x:c r="M136" s="39" t="str">
        <x:v>3</x:v>
      </x:c>
      <x:c r="N136" s="38" t="n">
        <x:v>46063</x:v>
      </x:c>
      <x:c r="O136" s="40" t="n">
        <x:v>385.52</x:v>
      </x:c>
      <x:c r="P136" s="22" t="str">
        <x:v>Sem andamento registrado</x:v>
      </x:c>
      <x:c r="Q136" s="22" t="str"/>
    </x:row>
    <x:row r="137">
      <x:c r="A137" s="22" t="str">
        <x:v>Camila</x:v>
      </x:c>
      <x:c r="B137" s="22" t="n">
        <x:v>97</x:v>
      </x:c>
      <x:c r="C137" s="38" t="n">
        <x:v>46252</x:v>
      </x:c>
      <x:c r="D137" s="22" t="str">
        <x:v>MANAGER</x:v>
      </x:c>
      <x:c r="E137" s="22" t="n">
        <x:v>3</x:v>
      </x:c>
      <x:c r="F137" s="22" t="n">
        <x:v>860</x:v>
      </x:c>
      <x:c r="G137" s="22" t="str">
        <x:v>CONDOMINIO RESERVA BUTANTA</x:v>
      </x:c>
      <x:c r="H137" s="22" t="str">
        <x:v>CONDOMÍNIO RESERVA BUTANTA</x:v>
      </x:c>
      <x:c r="I137" s="22" t="str">
        <x:v>Confirmado</x:v>
      </x:c>
      <x:c r="J137" s="22" t="str">
        <x:v>ativo</x:v>
      </x:c>
      <x:c r="K137" s="39" t="str">
        <x:v>18.777.394/0001-54</x:v>
      </x:c>
      <x:c r="L137" s="39" t="str">
        <x:v>31-03</x:v>
      </x:c>
      <x:c r="M137" s="39" t="str">
        <x:v>3</x:v>
      </x:c>
      <x:c r="N137" s="38" t="n">
        <x:v>46183</x:v>
      </x:c>
      <x:c r="O137" s="40" t="n">
        <x:v>1246.48</x:v>
      </x:c>
      <x:c r="P137" s="22" t="str">
        <x:v>Cobrança realizada</x:v>
      </x:c>
      <x:c r="Q137" s="22" t="str">
        <x:v>Cobrança realziado dia 20/09 por email e por whatsapp</x:v>
      </x:c>
    </x:row>
    <x:row r="138">
      <x:c r="A138" s="22" t="str">
        <x:v>Camila</x:v>
      </x:c>
      <x:c r="B138" s="22" t="n">
        <x:v>98</x:v>
      </x:c>
      <x:c r="C138" s="38" t="n">
        <x:v>46252</x:v>
      </x:c>
      <x:c r="D138" s="22" t="str">
        <x:v>MANAGER</x:v>
      </x:c>
      <x:c r="E138" s="22" t="n">
        <x:v>3</x:v>
      </x:c>
      <x:c r="F138" s="22" t="n">
        <x:v>750</x:v>
      </x:c>
      <x:c r="G138" s="22" t="str">
        <x:v>CONDOMINIO  VIEW BUTANTÃ</x:v>
      </x:c>
      <x:c r="H138" s="22" t="str">
        <x:v>CONDOMÍNIO VIEW BUTANTÃ</x:v>
      </x:c>
      <x:c r="I138" s="22" t="str">
        <x:v>Confirmado</x:v>
      </x:c>
      <x:c r="J138" s="22" t="str">
        <x:v>ativo</x:v>
      </x:c>
      <x:c r="K138" s="39" t="str">
        <x:v>51.776.364/0001-07</x:v>
      </x:c>
      <x:c r="L138" s="39" t="str">
        <x:v>707 A</x:v>
      </x:c>
      <x:c r="M138" s="39" t="str">
        <x:v>A</x:v>
      </x:c>
      <x:c r="N138" s="38" t="n">
        <x:v>46183</x:v>
      </x:c>
      <x:c r="O138" s="40" t="n">
        <x:v>970.41</x:v>
      </x:c>
      <x:c r="P138" s="22" t="str">
        <x:v>Sem andamento registrado</x:v>
      </x:c>
      <x:c r="Q138" s="22" t="str"/>
    </x:row>
    <x:row r="139">
      <x:c r="A139" s="22" t="str">
        <x:v>Camila</x:v>
      </x:c>
      <x:c r="B139" s="22" t="n">
        <x:v>99</x:v>
      </x:c>
      <x:c r="C139" s="38" t="n">
        <x:v>46252</x:v>
      </x:c>
      <x:c r="D139" s="22" t="str">
        <x:v>MANAGER</x:v>
      </x:c>
      <x:c r="E139" s="22" t="n">
        <x:v>3</x:v>
      </x:c>
      <x:c r="F139" s="22" t="n">
        <x:v>750</x:v>
      </x:c>
      <x:c r="G139" s="22" t="str">
        <x:v>CONDOMINIO  VIEW BUTANTÃ</x:v>
      </x:c>
      <x:c r="H139" s="22" t="str">
        <x:v>CONDOMÍNIO VIEW BUTANTÃ</x:v>
      </x:c>
      <x:c r="I139" s="22" t="str">
        <x:v>Confirmado</x:v>
      </x:c>
      <x:c r="J139" s="22" t="str">
        <x:v>ativo</x:v>
      </x:c>
      <x:c r="K139" s="39" t="str">
        <x:v>51.776.364/0001-07</x:v>
      </x:c>
      <x:c r="L139" s="39" t="str">
        <x:v>1003 A</x:v>
      </x:c>
      <x:c r="M139" s="39" t="str">
        <x:v>A</x:v>
      </x:c>
      <x:c r="N139" s="38" t="n">
        <x:v>46183</x:v>
      </x:c>
      <x:c r="O139" s="40" t="n">
        <x:v>977.28</x:v>
      </x:c>
      <x:c r="P139" s="22" t="str">
        <x:v>Sem andamento registrado</x:v>
      </x:c>
      <x:c r="Q139" s="22" t="str"/>
    </x:row>
    <x:row r="140">
      <x:c r="A140" s="22" t="str">
        <x:v>Camila</x:v>
      </x:c>
      <x:c r="B140" s="22" t="n">
        <x:v>100</x:v>
      </x:c>
      <x:c r="C140" s="38" t="n">
        <x:v>46252</x:v>
      </x:c>
      <x:c r="D140" s="22" t="str">
        <x:v>MANAGER</x:v>
      </x:c>
      <x:c r="E140" s="22" t="n">
        <x:v>3</x:v>
      </x:c>
      <x:c r="F140" s="22" t="n">
        <x:v>750</x:v>
      </x:c>
      <x:c r="G140" s="22" t="str">
        <x:v>CONDOMINIO  VIEW BUTANTÃ</x:v>
      </x:c>
      <x:c r="H140" s="22" t="str">
        <x:v>CONDOMÍNIO VIEW BUTANTÃ</x:v>
      </x:c>
      <x:c r="I140" s="22" t="str">
        <x:v>Confirmado</x:v>
      </x:c>
      <x:c r="J140" s="22" t="str">
        <x:v>ativo</x:v>
      </x:c>
      <x:c r="K140" s="39" t="str">
        <x:v>51.776.364/0001-07</x:v>
      </x:c>
      <x:c r="L140" s="39" t="str">
        <x:v>1302 A</x:v>
      </x:c>
      <x:c r="M140" s="39" t="str">
        <x:v>A</x:v>
      </x:c>
      <x:c r="N140" s="38" t="n">
        <x:v>46183</x:v>
      </x:c>
      <x:c r="O140" s="40" t="n">
        <x:v>970.41</x:v>
      </x:c>
      <x:c r="P140" s="22" t="str">
        <x:v>Sem andamento registrado</x:v>
      </x:c>
      <x:c r="Q140" s="22" t="str"/>
    </x:row>
    <x:row r="141">
      <x:c r="A141" s="22" t="str">
        <x:v>Camila</x:v>
      </x:c>
      <x:c r="B141" s="22" t="n">
        <x:v>101</x:v>
      </x:c>
      <x:c r="C141" s="38" t="n">
        <x:v>46252</x:v>
      </x:c>
      <x:c r="D141" s="22" t="str">
        <x:v>MANAGER</x:v>
      </x:c>
      <x:c r="E141" s="22" t="n">
        <x:v>3</x:v>
      </x:c>
      <x:c r="F141" s="22" t="n">
        <x:v>750</x:v>
      </x:c>
      <x:c r="G141" s="22" t="str">
        <x:v>CONDOMINIO  VIEW BUTANTÃ</x:v>
      </x:c>
      <x:c r="H141" s="22" t="str">
        <x:v>CONDOMÍNIO VIEW BUTANTÃ</x:v>
      </x:c>
      <x:c r="I141" s="22" t="str">
        <x:v>Confirmado</x:v>
      </x:c>
      <x:c r="J141" s="22" t="str">
        <x:v>ativo</x:v>
      </x:c>
      <x:c r="K141" s="39" t="str">
        <x:v>51.776.364/0001-07</x:v>
      </x:c>
      <x:c r="L141" s="39" t="str">
        <x:v>1504 A</x:v>
      </x:c>
      <x:c r="M141" s="39" t="str">
        <x:v>A</x:v>
      </x:c>
      <x:c r="N141" s="38" t="n">
        <x:v>46183</x:v>
      </x:c>
      <x:c r="O141" s="40" t="n">
        <x:v>884.57</x:v>
      </x:c>
      <x:c r="P141" s="22" t="str">
        <x:v>Sem andamento registrado</x:v>
      </x:c>
      <x:c r="Q141" s="22" t="str"/>
    </x:row>
    <x:row r="142">
      <x:c r="A142" s="22" t="str">
        <x:v>Camila</x:v>
      </x:c>
      <x:c r="B142" s="22" t="n">
        <x:v>102</x:v>
      </x:c>
      <x:c r="C142" s="38" t="n">
        <x:v>46252</x:v>
      </x:c>
      <x:c r="D142" s="22" t="str">
        <x:v>MANAGER</x:v>
      </x:c>
      <x:c r="E142" s="22" t="n">
        <x:v>3</x:v>
      </x:c>
      <x:c r="F142" s="22" t="n">
        <x:v>750</x:v>
      </x:c>
      <x:c r="G142" s="22" t="str">
        <x:v>CONDOMINIO  VIEW BUTANTÃ</x:v>
      </x:c>
      <x:c r="H142" s="22" t="str">
        <x:v>CONDOMÍNIO VIEW BUTANTÃ</x:v>
      </x:c>
      <x:c r="I142" s="22" t="str">
        <x:v>Confirmado</x:v>
      </x:c>
      <x:c r="J142" s="22" t="str">
        <x:v>ativo</x:v>
      </x:c>
      <x:c r="K142" s="39" t="str">
        <x:v>51.776.364/0001-07</x:v>
      </x:c>
      <x:c r="L142" s="39" t="str">
        <x:v>01B</x:v>
      </x:c>
      <x:c r="M142" s="39" t="str">
        <x:v>B</x:v>
      </x:c>
      <x:c r="N142" s="38" t="str">
        <x:v>10/02/2025 A 10/01/2025</x:v>
      </x:c>
      <x:c r="O142" s="40" t="n">
        <x:v>386.05</x:v>
      </x:c>
      <x:c r="P142" s="22" t="str">
        <x:v>Sem andamento registrado</x:v>
      </x:c>
      <x:c r="Q142" s="22" t="str"/>
    </x:row>
    <x:row r="143">
      <x:c r="A143" s="22" t="str">
        <x:v>Camila</x:v>
      </x:c>
      <x:c r="B143" s="22" t="n">
        <x:v>103</x:v>
      </x:c>
      <x:c r="C143" s="38" t="n">
        <x:v>46255</x:v>
      </x:c>
      <x:c r="D143" s="22" t="str">
        <x:v>THOMAZ</x:v>
      </x:c>
      <x:c r="E143" s="22" t="n">
        <x:v>5</x:v>
      </x:c>
      <x:c r="F143" s="22" t="n">
        <x:v>2113</x:v>
      </x:c>
      <x:c r="G143" s="22" t="str">
        <x:v>CONDOMÍNIO SUIT SÃO BERNARDO</x:v>
      </x:c>
      <x:c r="H143" s="22" t="str">
        <x:v>CONDOMÍNIO SUIT SÃO BERNARDO</x:v>
      </x:c>
      <x:c r="I143" s="22" t="str">
        <x:v>Confirmado</x:v>
      </x:c>
      <x:c r="J143" s="22" t="str">
        <x:v>ativo</x:v>
      </x:c>
      <x:c r="K143" s="39" t="str">
        <x:v>29.205.467/0001-50</x:v>
      </x:c>
      <x:c r="L143" s="39" t="str">
        <x:v>063</x:v>
      </x:c>
      <x:c r="M143" s="39" t="str">
        <x:v>1</x:v>
      </x:c>
      <x:c r="N143" s="38" t="n">
        <x:v>46216</x:v>
      </x:c>
      <x:c r="O143" s="40" t="n">
        <x:v>1210.4</x:v>
      </x:c>
      <x:c r="P143" s="22" t="str">
        <x:v>Sem andamento registrado</x:v>
      </x:c>
      <x:c r="Q143" s="22" t="str"/>
    </x:row>
    <x:row r="144">
      <x:c r="A144" s="22" t="str">
        <x:v>Camila</x:v>
      </x:c>
      <x:c r="B144" s="22" t="n">
        <x:v>104</x:v>
      </x:c>
      <x:c r="C144" s="38" t="n">
        <x:v>46255</x:v>
      </x:c>
      <x:c r="D144" s="22" t="str">
        <x:v>THOMAZ</x:v>
      </x:c>
      <x:c r="E144" s="22" t="n">
        <x:v>5</x:v>
      </x:c>
      <x:c r="F144" s="22" t="n">
        <x:v>2113</x:v>
      </x:c>
      <x:c r="G144" s="22" t="str">
        <x:v>CONDOMÍNIO SUIT SÃO BERNARDO</x:v>
      </x:c>
      <x:c r="H144" s="22" t="str">
        <x:v>CONDOMÍNIO SUIT SÃO BERNARDO</x:v>
      </x:c>
      <x:c r="I144" s="22" t="str">
        <x:v>Confirmado</x:v>
      </x:c>
      <x:c r="J144" s="22" t="str">
        <x:v>ativo</x:v>
      </x:c>
      <x:c r="K144" s="39" t="str">
        <x:v>29.205.467/0001-50</x:v>
      </x:c>
      <x:c r="L144" s="39" t="str">
        <x:v>123</x:v>
      </x:c>
      <x:c r="M144" s="39" t="str">
        <x:v>1</x:v>
      </x:c>
      <x:c r="N144" s="38" t="n">
        <x:v>46216</x:v>
      </x:c>
      <x:c r="O144" s="40" t="n">
        <x:v>1153.08</x:v>
      </x:c>
      <x:c r="P144" s="22" t="str">
        <x:v>Sem andamento registrado</x:v>
      </x:c>
      <x:c r="Q144" s="22" t="str"/>
    </x:row>
    <x:row r="145">
      <x:c r="A145" s="22" t="str">
        <x:v>Camila</x:v>
      </x:c>
      <x:c r="B145" s="22" t="n">
        <x:v>105</x:v>
      </x:c>
      <x:c r="C145" s="38" t="n">
        <x:v>46255</x:v>
      </x:c>
      <x:c r="D145" s="22" t="str">
        <x:v>THOMAZ</x:v>
      </x:c>
      <x:c r="E145" s="22" t="n">
        <x:v>5</x:v>
      </x:c>
      <x:c r="F145" s="22" t="n">
        <x:v>2113</x:v>
      </x:c>
      <x:c r="G145" s="22" t="str">
        <x:v>CONDOMÍNIO SUIT SÃO BERNARDO</x:v>
      </x:c>
      <x:c r="H145" s="22" t="str">
        <x:v>CONDOMÍNIO SUIT SÃO BERNARDO</x:v>
      </x:c>
      <x:c r="I145" s="22" t="str">
        <x:v>Confirmado</x:v>
      </x:c>
      <x:c r="J145" s="22" t="str">
        <x:v>ativo</x:v>
      </x:c>
      <x:c r="K145" s="39" t="str">
        <x:v>29.205.467/0001-50</x:v>
      </x:c>
      <x:c r="L145" s="39" t="str">
        <x:v>172</x:v>
      </x:c>
      <x:c r="M145" s="39" t="str">
        <x:v>1</x:v>
      </x:c>
      <x:c r="N145" s="38" t="n">
        <x:v>46216</x:v>
      </x:c>
      <x:c r="O145" s="40" t="n">
        <x:v>1139.52</x:v>
      </x:c>
      <x:c r="P145" s="22" t="str">
        <x:v>Sem andamento registrado</x:v>
      </x:c>
      <x:c r="Q145" s="22" t="str"/>
    </x:row>
    <x:row r="146">
      <x:c r="A146" s="22" t="str">
        <x:v>Camila</x:v>
      </x:c>
      <x:c r="B146" s="22" t="n">
        <x:v>106</x:v>
      </x:c>
      <x:c r="C146" s="38" t="n">
        <x:v>46255</x:v>
      </x:c>
      <x:c r="D146" s="22" t="str">
        <x:v>THOMAZ</x:v>
      </x:c>
      <x:c r="E146" s="22" t="n">
        <x:v>5</x:v>
      </x:c>
      <x:c r="F146" s="22" t="n">
        <x:v>2113</x:v>
      </x:c>
      <x:c r="G146" s="22" t="str">
        <x:v>CONDOMÍNIO SUIT SÃO BERNARDO</x:v>
      </x:c>
      <x:c r="H146" s="22" t="str">
        <x:v>CONDOMÍNIO SUIT SÃO BERNARDO</x:v>
      </x:c>
      <x:c r="I146" s="22" t="str">
        <x:v>Confirmado</x:v>
      </x:c>
      <x:c r="J146" s="22" t="str">
        <x:v>ativo</x:v>
      </x:c>
      <x:c r="K146" s="39" t="str">
        <x:v>29.205.467/0001-50</x:v>
      </x:c>
      <x:c r="L146" s="39" t="str">
        <x:v>92</x:v>
      </x:c>
      <x:c r="M146" s="39" t="str">
        <x:v>2</x:v>
      </x:c>
      <x:c r="N146" s="38" t="n">
        <x:v>46216</x:v>
      </x:c>
      <x:c r="O146" s="40" t="n">
        <x:v>1090.28</x:v>
      </x:c>
      <x:c r="P146" s="22" t="str">
        <x:v>Sem andamento registrado</x:v>
      </x:c>
      <x:c r="Q146" s="22" t="str"/>
    </x:row>
    <x:row r="147">
      <x:c r="A147" s="22" t="str">
        <x:v>Camila</x:v>
      </x:c>
      <x:c r="B147" s="22" t="n">
        <x:v>107</x:v>
      </x:c>
      <x:c r="C147" s="38" t="n">
        <x:v>46255</x:v>
      </x:c>
      <x:c r="D147" s="22" t="str">
        <x:v>THOMAZ</x:v>
      </x:c>
      <x:c r="E147" s="22" t="n">
        <x:v>5</x:v>
      </x:c>
      <x:c r="F147" s="22" t="n">
        <x:v>2113</x:v>
      </x:c>
      <x:c r="G147" s="22" t="str">
        <x:v>CONDOMÍNIO SUIT SÃO BERNARDO</x:v>
      </x:c>
      <x:c r="H147" s="22" t="str">
        <x:v>CONDOMÍNIO SUIT SÃO BERNARDO</x:v>
      </x:c>
      <x:c r="I147" s="22" t="str">
        <x:v>Confirmado</x:v>
      </x:c>
      <x:c r="J147" s="22" t="str">
        <x:v>ativo</x:v>
      </x:c>
      <x:c r="K147" s="39" t="str">
        <x:v>29.205.467/0001-50</x:v>
      </x:c>
      <x:c r="L147" s="39" t="str">
        <x:v>94</x:v>
      </x:c>
      <x:c r="M147" s="39" t="str">
        <x:v>2</x:v>
      </x:c>
      <x:c r="N147" s="38" t="n">
        <x:v>46216</x:v>
      </x:c>
      <x:c r="O147" s="40" t="n">
        <x:v>1129.07</x:v>
      </x:c>
      <x:c r="P147" s="22" t="str">
        <x:v>Sem andamento registrado</x:v>
      </x:c>
      <x:c r="Q147" s="22" t="str"/>
    </x:row>
    <x:row r="148">
      <x:c r="A148" s="22" t="str">
        <x:v>Camila</x:v>
      </x:c>
      <x:c r="B148" s="22" t="n">
        <x:v>108</x:v>
      </x:c>
      <x:c r="C148" s="38" t="n">
        <x:v>46255</x:v>
      </x:c>
      <x:c r="D148" s="22" t="str">
        <x:v>THOMAZ</x:v>
      </x:c>
      <x:c r="E148" s="22" t="n">
        <x:v>5</x:v>
      </x:c>
      <x:c r="F148" s="22" t="n">
        <x:v>2113</x:v>
      </x:c>
      <x:c r="G148" s="22" t="str">
        <x:v>CONDOMÍNIO SUIT SÃO BERNARDO</x:v>
      </x:c>
      <x:c r="H148" s="22" t="str">
        <x:v>CONDOMÍNIO SUIT SÃO BERNARDO</x:v>
      </x:c>
      <x:c r="I148" s="22" t="str">
        <x:v>Confirmado</x:v>
      </x:c>
      <x:c r="J148" s="22" t="str">
        <x:v>ativo</x:v>
      </x:c>
      <x:c r="K148" s="39" t="str">
        <x:v>29.205.467/0001-50</x:v>
      </x:c>
      <x:c r="L148" s="39" t="str">
        <x:v>123</x:v>
      </x:c>
      <x:c r="M148" s="39" t="str">
        <x:v>2</x:v>
      </x:c>
      <x:c r="N148" s="38" t="n">
        <x:v>46216</x:v>
      </x:c>
      <x:c r="O148" s="40" t="n">
        <x:v>1071.76</x:v>
      </x:c>
      <x:c r="P148" s="22" t="str">
        <x:v>Sem andamento registrado</x:v>
      </x:c>
      <x:c r="Q148" s="22" t="str"/>
    </x:row>
    <x:row r="149">
      <x:c r="A149" s="22" t="str">
        <x:v>Camila</x:v>
      </x:c>
      <x:c r="B149" s="22" t="n">
        <x:v>109</x:v>
      </x:c>
      <x:c r="C149" s="38" t="n">
        <x:v>46255</x:v>
      </x:c>
      <x:c r="D149" s="22" t="str">
        <x:v>THOMAZ</x:v>
      </x:c>
      <x:c r="E149" s="22" t="n">
        <x:v>5</x:v>
      </x:c>
      <x:c r="F149" s="22" t="n">
        <x:v>2113</x:v>
      </x:c>
      <x:c r="G149" s="22" t="str">
        <x:v>CONDOMÍNIO SUIT SÃO BERNARDO</x:v>
      </x:c>
      <x:c r="H149" s="22" t="str">
        <x:v>CONDOMÍNIO SUIT SÃO BERNARDO</x:v>
      </x:c>
      <x:c r="I149" s="22" t="str">
        <x:v>Confirmado</x:v>
      </x:c>
      <x:c r="J149" s="22" t="str">
        <x:v>ativo</x:v>
      </x:c>
      <x:c r="K149" s="39" t="str">
        <x:v>29.205.467/0001-50</x:v>
      </x:c>
      <x:c r="L149" s="39" t="str">
        <x:v>131</x:v>
      </x:c>
      <x:c r="M149" s="39" t="str">
        <x:v>2</x:v>
      </x:c>
      <x:c r="N149" s="38" t="n">
        <x:v>46216</x:v>
      </x:c>
      <x:c r="O149" s="40" t="n">
        <x:v>1548.96</x:v>
      </x:c>
      <x:c r="P149" s="22" t="str">
        <x:v>Sem andamento registrado</x:v>
      </x:c>
      <x:c r="Q149" s="22" t="str"/>
    </x:row>
    <x:row r="150">
      <x:c r="A150" s="22" t="str">
        <x:v>Camila</x:v>
      </x:c>
      <x:c r="B150" s="22" t="n">
        <x:v>110</x:v>
      </x:c>
      <x:c r="C150" s="38" t="n">
        <x:v>46255</x:v>
      </x:c>
      <x:c r="D150" s="22" t="str">
        <x:v>THOMAZ</x:v>
      </x:c>
      <x:c r="E150" s="22" t="n">
        <x:v>5</x:v>
      </x:c>
      <x:c r="F150" s="22" t="n">
        <x:v>2113</x:v>
      </x:c>
      <x:c r="G150" s="22" t="str">
        <x:v>CONDOMÍNIO SUIT SÃO BERNARDO</x:v>
      </x:c>
      <x:c r="H150" s="22" t="str">
        <x:v>CONDOMÍNIO SUIT SÃO BERNARDO</x:v>
      </x:c>
      <x:c r="I150" s="22" t="str">
        <x:v>Confirmado</x:v>
      </x:c>
      <x:c r="J150" s="22" t="str">
        <x:v>ativo</x:v>
      </x:c>
      <x:c r="K150" s="39" t="str">
        <x:v>29.205.467/0001-50</x:v>
      </x:c>
      <x:c r="L150" s="39" t="str">
        <x:v>105</x:v>
      </x:c>
      <x:c r="M150" s="39" t="str">
        <x:v>3</x:v>
      </x:c>
      <x:c r="N150" s="38" t="n">
        <x:v>46216</x:v>
      </x:c>
      <x:c r="O150" s="40" t="n">
        <x:v>1076.82</x:v>
      </x:c>
      <x:c r="P150" s="22" t="str">
        <x:v>Sem andamento registrado</x:v>
      </x:c>
      <x:c r="Q150" s="22" t="str"/>
    </x:row>
    <x:row r="151">
      <x:c r="A151" s="22" t="str">
        <x:v>Camila</x:v>
      </x:c>
      <x:c r="B151" s="22" t="n">
        <x:v>111</x:v>
      </x:c>
      <x:c r="C151" s="38" t="n">
        <x:v>46255</x:v>
      </x:c>
      <x:c r="D151" s="22" t="str">
        <x:v>THOMAZ</x:v>
      </x:c>
      <x:c r="E151" s="22" t="n">
        <x:v>5</x:v>
      </x:c>
      <x:c r="F151" s="22" t="n">
        <x:v>2113</x:v>
      </x:c>
      <x:c r="G151" s="22" t="str">
        <x:v>CONDOMÍNIO SUIT SÃO BERNARDO</x:v>
      </x:c>
      <x:c r="H151" s="22" t="str">
        <x:v>CONDOMÍNIO SUIT SÃO BERNARDO</x:v>
      </x:c>
      <x:c r="I151" s="22" t="str">
        <x:v>Confirmado</x:v>
      </x:c>
      <x:c r="J151" s="22" t="str">
        <x:v>ativo</x:v>
      </x:c>
      <x:c r="K151" s="39" t="str">
        <x:v>29.205.467/0001-50</x:v>
      </x:c>
      <x:c r="L151" s="39" t="str">
        <x:v>111</x:v>
      </x:c>
      <x:c r="M151" s="39" t="str">
        <x:v>3</x:v>
      </x:c>
      <x:c r="N151" s="38" t="n">
        <x:v>46216</x:v>
      </x:c>
      <x:c r="O151" s="40" t="n">
        <x:v>1280.44</x:v>
      </x:c>
      <x:c r="P151" s="22" t="str">
        <x:v>Sem andamento registrado</x:v>
      </x:c>
      <x:c r="Q151" s="22" t="str"/>
    </x:row>
    <x:row r="152">
      <x:c r="A152" s="22" t="str">
        <x:v>Camila</x:v>
      </x:c>
      <x:c r="B152" s="22" t="n">
        <x:v>112</x:v>
      </x:c>
      <x:c r="C152" s="38" t="n">
        <x:v>46255</x:v>
      </x:c>
      <x:c r="D152" s="22" t="str">
        <x:v>THOMAZ</x:v>
      </x:c>
      <x:c r="E152" s="22" t="n">
        <x:v>5</x:v>
      </x:c>
      <x:c r="F152" s="22" t="n">
        <x:v>2113</x:v>
      </x:c>
      <x:c r="G152" s="22" t="str">
        <x:v>CONDOMÍNIO SUIT SÃO BERNARDO</x:v>
      </x:c>
      <x:c r="H152" s="22" t="str">
        <x:v>CONDOMÍNIO SUIT SÃO BERNARDO</x:v>
      </x:c>
      <x:c r="I152" s="22" t="str">
        <x:v>Confirmado</x:v>
      </x:c>
      <x:c r="J152" s="22" t="str">
        <x:v>ativo</x:v>
      </x:c>
      <x:c r="K152" s="39" t="str">
        <x:v>29.205.467/0001-50</x:v>
      </x:c>
      <x:c r="L152" s="39" t="str">
        <x:v>114</x:v>
      </x:c>
      <x:c r="M152" s="39" t="str">
        <x:v>3</x:v>
      </x:c>
      <x:c r="N152" s="38" t="n">
        <x:v>46216</x:v>
      </x:c>
      <x:c r="O152" s="40" t="n">
        <x:v>1479.66</x:v>
      </x:c>
      <x:c r="P152" s="22" t="str">
        <x:v>Sem andamento registrado</x:v>
      </x:c>
      <x:c r="Q152" s="22" t="str"/>
    </x:row>
    <x:row r="153">
      <x:c r="A153" s="22" t="str">
        <x:v>Camila</x:v>
      </x:c>
      <x:c r="B153" s="22" t="n">
        <x:v>113</x:v>
      </x:c>
      <x:c r="C153" s="38" t="n">
        <x:v>46255</x:v>
      </x:c>
      <x:c r="D153" s="22" t="str">
        <x:v>MANAGER</x:v>
      </x:c>
      <x:c r="E153" s="22" t="n">
        <x:v>5</x:v>
      </x:c>
      <x:c r="F153" s="22" t="n">
        <x:v>695</x:v>
      </x:c>
      <x:c r="G153" s="22" t="str">
        <x:v>CONDOMÍNIO SQUARE GARDEN CAMPO BELO  - RESIDENCIAL</x:v>
      </x:c>
      <x:c r="H153" s="22" t="str">
        <x:v>CONDOMÍNIO SQUARE GARDEN CAMPO BELO - RESIDENCIAL</x:v>
      </x:c>
      <x:c r="I153" s="22" t="str">
        <x:v>Confirmado</x:v>
      </x:c>
      <x:c r="J153" s="22" t="str">
        <x:v>ativo</x:v>
      </x:c>
      <x:c r="K153" s="39" t="str">
        <x:v>52.151.457/0002-81</x:v>
      </x:c>
      <x:c r="L153" s="39" t="str">
        <x:v>000142</x:v>
      </x:c>
      <x:c r="M153" s="39" t="str">
        <x:v>BL01</x:v>
      </x:c>
      <x:c r="N153" s="38" t="str">
        <x:v>05/07/2026</x:v>
      </x:c>
      <x:c r="O153" s="40" t="n">
        <x:v>2604.89</x:v>
      </x:c>
      <x:c r="P153" s="22" t="str">
        <x:v>Sem andamento registrado</x:v>
      </x:c>
      <x:c r="Q153" s="22" t="str"/>
    </x:row>
    <x:row r="154">
      <x:c r="A154" s="22" t="str">
        <x:v>Camila</x:v>
      </x:c>
      <x:c r="B154" s="22" t="n">
        <x:v>114</x:v>
      </x:c>
      <x:c r="C154" s="38" t="n">
        <x:v>46255</x:v>
      </x:c>
      <x:c r="D154" s="22" t="str">
        <x:v>MANAGER</x:v>
      </x:c>
      <x:c r="E154" s="22" t="n">
        <x:v>5</x:v>
      </x:c>
      <x:c r="F154" s="22" t="n">
        <x:v>695</x:v>
      </x:c>
      <x:c r="G154" s="22" t="str">
        <x:v>CONDOMÍNIO SQUARE GARDEN CAMPO BELO  - RESIDENCIAL</x:v>
      </x:c>
      <x:c r="H154" s="22" t="str">
        <x:v>CONDOMÍNIO SQUARE GARDEN CAMPO BELO - RESIDENCIAL</x:v>
      </x:c>
      <x:c r="I154" s="22" t="str">
        <x:v>Confirmado</x:v>
      </x:c>
      <x:c r="J154" s="22" t="str">
        <x:v>ativo</x:v>
      </x:c>
      <x:c r="K154" s="39" t="str">
        <x:v>52.151.457/0002-81</x:v>
      </x:c>
      <x:c r="L154" s="39" t="str">
        <x:v>000201</x:v>
      </x:c>
      <x:c r="M154" s="39" t="str">
        <x:v>BL01</x:v>
      </x:c>
      <x:c r="N154" s="38" t="str">
        <x:v>05/07/2026</x:v>
      </x:c>
      <x:c r="O154" s="40" t="n">
        <x:v>1966.51</x:v>
      </x:c>
      <x:c r="P154" s="22" t="str">
        <x:v>Sem andamento registrado</x:v>
      </x:c>
      <x:c r="Q154" s="22" t="str"/>
    </x:row>
    <x:row r="155">
      <x:c r="A155" s="22" t="str">
        <x:v>Camila</x:v>
      </x:c>
      <x:c r="B155" s="22" t="n">
        <x:v>115</x:v>
      </x:c>
      <x:c r="C155" s="38" t="n">
        <x:v>46255</x:v>
      </x:c>
      <x:c r="D155" s="22" t="str">
        <x:v>OMA</x:v>
      </x:c>
      <x:c r="E155" s="22" t="n">
        <x:v>5</x:v>
      </x:c>
      <x:c r="F155" s="22" t="str">
        <x:v>Erro de fórmula na origem</x:v>
      </x:c>
      <x:c r="G155" s="22" t="str">
        <x:v>HAUS MITRE RESERVA VILA MARIANA - SETOR RESIDENCIAL</x:v>
      </x:c>
      <x:c r="H155" s="22" t="str">
        <x:v>HAUS MITRE RESERVA VILA MARIANA SETOR RESIDENCIAL</x:v>
      </x:c>
      <x:c r="I155" s="22" t="str">
        <x:v>Confirmado</x:v>
      </x:c>
      <x:c r="J155" s="22" t="str">
        <x:v>ativo</x:v>
      </x:c>
      <x:c r="K155" s="39" t="str">
        <x:v>61.675.871/0002-80</x:v>
      </x:c>
      <x:c r="L155" s="39" t="str">
        <x:v>303</x:v>
      </x:c>
      <x:c r="M155" s="39" t="str">
        <x:v>0</x:v>
      </x:c>
      <x:c r="N155" s="38" t="n">
        <x:v>46213</x:v>
      </x:c>
      <x:c r="O155" s="40" t="n">
        <x:v>2213.62</x:v>
      </x:c>
      <x:c r="P155" s="22" t="str">
        <x:v>Sem andamento registrado</x:v>
      </x:c>
      <x:c r="Q155" s="22" t="str"/>
    </x:row>
    <x:row r="156">
      <x:c r="A156" s="22" t="str">
        <x:v>Camila</x:v>
      </x:c>
      <x:c r="B156" s="22" t="n">
        <x:v>116</x:v>
      </x:c>
      <x:c r="C156" s="38" t="n">
        <x:v>46255</x:v>
      </x:c>
      <x:c r="D156" s="22" t="str">
        <x:v>OMA</x:v>
      </x:c>
      <x:c r="E156" s="22" t="n">
        <x:v>5</x:v>
      </x:c>
      <x:c r="F156" s="22" t="n">
        <x:v>26</x:v>
      </x:c>
      <x:c r="G156" s="22" t="str">
        <x:v>HAUS MITRE RESERVA VILA MARIANA - SETOR STUDIOS</x:v>
      </x:c>
      <x:c r="H156" s="22" t="str"/>
      <x:c r="I156" s="22" t="str">
        <x:v>Não localizado</x:v>
      </x:c>
      <x:c r="J156" s="22" t="str"/>
      <x:c r="K156" s="39" t="str"/>
      <x:c r="L156" s="39" t="str">
        <x:v>112</x:v>
      </x:c>
      <x:c r="M156" s="39" t="str">
        <x:v>NR</x:v>
      </x:c>
      <x:c r="N156" s="38" t="n">
        <x:v>46213</x:v>
      </x:c>
      <x:c r="O156" s="40" t="n">
        <x:v>581.22</x:v>
      </x:c>
      <x:c r="P156" s="22" t="str">
        <x:v>Sem andamento registrado</x:v>
      </x:c>
      <x:c r="Q156" s="22" t="str"/>
    </x:row>
    <x:row r="157">
      <x:c r="A157" s="22" t="str">
        <x:v>Camila</x:v>
      </x:c>
      <x:c r="B157" s="22" t="n">
        <x:v>117</x:v>
      </x:c>
      <x:c r="C157" s="38" t="n">
        <x:v>46255</x:v>
      </x:c>
      <x:c r="D157" s="22" t="str">
        <x:v>OMA</x:v>
      </x:c>
      <x:c r="E157" s="22" t="n">
        <x:v>5</x:v>
      </x:c>
      <x:c r="F157" s="22" t="n">
        <x:v>26</x:v>
      </x:c>
      <x:c r="G157" s="22" t="str">
        <x:v>HAUS MITRE RESERVA VILA MARIANA - SETOR STUDIOS</x:v>
      </x:c>
      <x:c r="H157" s="22" t="str"/>
      <x:c r="I157" s="22" t="str">
        <x:v>Não localizado</x:v>
      </x:c>
      <x:c r="J157" s="22" t="str"/>
      <x:c r="K157" s="39" t="str"/>
      <x:c r="L157" s="39" t="str">
        <x:v>208</x:v>
      </x:c>
      <x:c r="M157" s="39" t="str">
        <x:v>NR</x:v>
      </x:c>
      <x:c r="N157" s="38" t="n">
        <x:v>46213</x:v>
      </x:c>
      <x:c r="O157" s="40" t="n">
        <x:v>576</x:v>
      </x:c>
      <x:c r="P157" s="22" t="str">
        <x:v>Sem andamento registrado</x:v>
      </x:c>
      <x:c r="Q157" s="22" t="str"/>
    </x:row>
    <x:row r="158">
      <x:c r="A158" s="22" t="str">
        <x:v>Camila</x:v>
      </x:c>
      <x:c r="B158" s="22" t="n">
        <x:v>118</x:v>
      </x:c>
      <x:c r="C158" s="38" t="n">
        <x:v>46255</x:v>
      </x:c>
      <x:c r="D158" s="22" t="str">
        <x:v>OMA</x:v>
      </x:c>
      <x:c r="E158" s="22" t="n">
        <x:v>5</x:v>
      </x:c>
      <x:c r="F158" s="22" t="n">
        <x:v>26</x:v>
      </x:c>
      <x:c r="G158" s="22" t="str">
        <x:v>HAUS MITRE RESERVA VILA MARIANA - SETOR STUDIOS</x:v>
      </x:c>
      <x:c r="H158" s="22" t="str"/>
      <x:c r="I158" s="22" t="str">
        <x:v>Não localizado</x:v>
      </x:c>
      <x:c r="J158" s="22" t="str"/>
      <x:c r="K158" s="39" t="str"/>
      <x:c r="L158" s="39" t="str">
        <x:v>1108</x:v>
      </x:c>
      <x:c r="M158" s="39" t="str">
        <x:v>R</x:v>
      </x:c>
      <x:c r="N158" s="38" t="n">
        <x:v>46213</x:v>
      </x:c>
      <x:c r="O158" s="40" t="n">
        <x:v>584.56</x:v>
      </x:c>
      <x:c r="P158" s="22" t="str">
        <x:v>Com acordo</x:v>
      </x:c>
      <x:c r="Q158" s="22" t="str">
        <x:v>Acordo realizado dia 24/08 referente a cota de 07/26 e enviado para o emai lnataliacperson@gmail.com com o vencimento para o dia 26/08</x:v>
      </x:c>
    </x:row>
    <x:row r="159">
      <x:c r="A159" s="22" t="str">
        <x:v>Camila</x:v>
      </x:c>
      <x:c r="B159" s="22" t="n">
        <x:v>119</x:v>
      </x:c>
      <x:c r="C159" s="38" t="n">
        <x:v>46255</x:v>
      </x:c>
      <x:c r="D159" s="22" t="str">
        <x:v>OMA</x:v>
      </x:c>
      <x:c r="E159" s="22" t="n">
        <x:v>5</x:v>
      </x:c>
      <x:c r="F159" s="22" t="n">
        <x:v>26</x:v>
      </x:c>
      <x:c r="G159" s="22" t="str">
        <x:v>HAUS MITRE RESERVA VILA MARIANA - SETOR STUDIOS</x:v>
      </x:c>
      <x:c r="H159" s="22" t="str"/>
      <x:c r="I159" s="22" t="str">
        <x:v>Não localizado</x:v>
      </x:c>
      <x:c r="J159" s="22" t="str"/>
      <x:c r="K159" s="39" t="str"/>
      <x:c r="L159" s="39" t="str">
        <x:v>1204</x:v>
      </x:c>
      <x:c r="M159" s="39" t="str">
        <x:v>R</x:v>
      </x:c>
      <x:c r="N159" s="38" t="n">
        <x:v>46213</x:v>
      </x:c>
      <x:c r="O159" s="40" t="n">
        <x:v>597.38</x:v>
      </x:c>
      <x:c r="P159" s="22" t="str">
        <x:v>Com acordo</x:v>
      </x:c>
      <x:c r="Q159" s="22" t="str">
        <x:v>Acordo realizado dia 21/08 referente a cota de 07/26 e enviado para o email camilaptborio@gmail.com com o vencimento para o dia 25/08</x:v>
      </x:c>
    </x:row>
    <x:row r="160">
      <x:c r="A160" s="22" t="str">
        <x:v>Camila</x:v>
      </x:c>
      <x:c r="B160" s="22" t="n">
        <x:v>120</x:v>
      </x:c>
      <x:c r="C160" s="38" t="n">
        <x:v>46255</x:v>
      </x:c>
      <x:c r="D160" s="22" t="str">
        <x:v>OMA</x:v>
      </x:c>
      <x:c r="E160" s="22" t="n">
        <x:v>5</x:v>
      </x:c>
      <x:c r="F160" s="22" t="n">
        <x:v>26</x:v>
      </x:c>
      <x:c r="G160" s="22" t="str">
        <x:v>HAUS MITRE RESERVA VILA MARIANA - SETOR STUDIOS</x:v>
      </x:c>
      <x:c r="H160" s="22" t="str"/>
      <x:c r="I160" s="22" t="str">
        <x:v>Não localizado</x:v>
      </x:c>
      <x:c r="J160" s="22" t="str"/>
      <x:c r="K160" s="39" t="str"/>
      <x:c r="L160" s="39" t="str">
        <x:v>1205</x:v>
      </x:c>
      <x:c r="M160" s="39" t="str">
        <x:v>R</x:v>
      </x:c>
      <x:c r="N160" s="38" t="n">
        <x:v>46213</x:v>
      </x:c>
      <x:c r="O160" s="40" t="n">
        <x:v>613.42</x:v>
      </x:c>
      <x:c r="P160" s="22" t="str">
        <x:v>Sem andamento registrado</x:v>
      </x:c>
      <x:c r="Q160" s="22" t="str"/>
    </x:row>
    <x:row r="161">
      <x:c r="A161" s="22" t="str">
        <x:v>Camila</x:v>
      </x:c>
      <x:c r="B161" s="22" t="n">
        <x:v>121</x:v>
      </x:c>
      <x:c r="C161" s="38" t="n">
        <x:v>46255</x:v>
      </x:c>
      <x:c r="D161" s="22" t="str">
        <x:v>OMA</x:v>
      </x:c>
      <x:c r="E161" s="22" t="n">
        <x:v>5</x:v>
      </x:c>
      <x:c r="F161" s="22" t="n">
        <x:v>26</x:v>
      </x:c>
      <x:c r="G161" s="22" t="str">
        <x:v>HAUS MITRE RESERVA VILA MARIANA - SETOR STUDIOS</x:v>
      </x:c>
      <x:c r="H161" s="22" t="str"/>
      <x:c r="I161" s="22" t="str">
        <x:v>Não localizado</x:v>
      </x:c>
      <x:c r="J161" s="22" t="str"/>
      <x:c r="K161" s="39" t="str"/>
      <x:c r="L161" s="39" t="str">
        <x:v>1308</x:v>
      </x:c>
      <x:c r="M161" s="39" t="str">
        <x:v>R</x:v>
      </x:c>
      <x:c r="N161" s="38" t="n">
        <x:v>46213</x:v>
      </x:c>
      <x:c r="O161" s="40" t="n">
        <x:v>584.56</x:v>
      </x:c>
      <x:c r="P161" s="22" t="str">
        <x:v>Sem andamento registrado</x:v>
      </x:c>
      <x:c r="Q161" s="22" t="str"/>
    </x:row>
    <x:row r="162">
      <x:c r="A162" s="22" t="str">
        <x:v>Camila</x:v>
      </x:c>
      <x:c r="B162" s="22" t="n">
        <x:v>122</x:v>
      </x:c>
      <x:c r="C162" s="38" t="n">
        <x:v>46259</x:v>
      </x:c>
      <x:c r="D162" s="22" t="str">
        <x:v>MANAGER</x:v>
      </x:c>
      <x:c r="E162" s="22" t="n">
        <x:v>6</x:v>
      </x:c>
      <x:c r="F162" s="22" t="n">
        <x:v>696</x:v>
      </x:c>
      <x:c r="G162" s="22" t="str">
        <x:v>CONDOMÍNIO SQUARE GARDEN QUAD - STUDIOS</x:v>
      </x:c>
      <x:c r="H162" s="22" t="str">
        <x:v>CONDOMÍNIO SQUARE GARDEN CAMPO BELO STUDIOS</x:v>
      </x:c>
      <x:c r="I162" s="22" t="str">
        <x:v>Provável</x:v>
      </x:c>
      <x:c r="J162" s="22" t="str">
        <x:v>ativo</x:v>
      </x:c>
      <x:c r="K162" s="39" t="str">
        <x:v>52.151.457/0003-62</x:v>
      </x:c>
      <x:c r="L162" s="39" t="str">
        <x:v>SU0309</x:v>
      </x:c>
      <x:c r="M162" s="39" t="str">
        <x:v>0</x:v>
      </x:c>
      <x:c r="N162" s="38" t="n">
        <x:v>46213</x:v>
      </x:c>
      <x:c r="O162" s="40" t="n">
        <x:v>683.61</x:v>
      </x:c>
      <x:c r="P162" s="22" t="str">
        <x:v>Sem andamento registrado</x:v>
      </x:c>
      <x:c r="Q162" s="22" t="str"/>
    </x:row>
    <x:row r="163">
      <x:c r="A163" s="22" t="str">
        <x:v>Camila</x:v>
      </x:c>
      <x:c r="B163" s="22" t="n">
        <x:v>123</x:v>
      </x:c>
      <x:c r="C163" s="38" t="n">
        <x:v>46259</x:v>
      </x:c>
      <x:c r="D163" s="22" t="str">
        <x:v>MANAGER</x:v>
      </x:c>
      <x:c r="E163" s="22" t="n">
        <x:v>6</x:v>
      </x:c>
      <x:c r="F163" s="22" t="n">
        <x:v>696</x:v>
      </x:c>
      <x:c r="G163" s="22" t="str">
        <x:v>CONDOMÍNIO SQUARE GARDEN QUAD - STUDIOS</x:v>
      </x:c>
      <x:c r="H163" s="22" t="str">
        <x:v>CONDOMÍNIO SQUARE GARDEN CAMPO BELO STUDIOS</x:v>
      </x:c>
      <x:c r="I163" s="22" t="str">
        <x:v>Provável</x:v>
      </x:c>
      <x:c r="J163" s="22" t="str">
        <x:v>ativo</x:v>
      </x:c>
      <x:c r="K163" s="39" t="str">
        <x:v>52.151.457/0003-62</x:v>
      </x:c>
      <x:c r="L163" s="39" t="str">
        <x:v>SU0408</x:v>
      </x:c>
      <x:c r="M163" s="39" t="str">
        <x:v>0</x:v>
      </x:c>
      <x:c r="N163" s="38" t="n">
        <x:v>46213</x:v>
      </x:c>
      <x:c r="O163" s="40" t="n">
        <x:v>683.61</x:v>
      </x:c>
      <x:c r="P163" s="22" t="str">
        <x:v>Sem andamento registrado</x:v>
      </x:c>
      <x:c r="Q163" s="22" t="str"/>
    </x:row>
    <x:row r="164">
      <x:c r="A164" s="22" t="str">
        <x:v>Camila</x:v>
      </x:c>
      <x:c r="B164" s="22" t="n">
        <x:v>124</x:v>
      </x:c>
      <x:c r="C164" s="38" t="n">
        <x:v>46259</x:v>
      </x:c>
      <x:c r="D164" s="22" t="str">
        <x:v>MANAGER</x:v>
      </x:c>
      <x:c r="E164" s="22" t="n">
        <x:v>6</x:v>
      </x:c>
      <x:c r="F164" s="22" t="n">
        <x:v>696</x:v>
      </x:c>
      <x:c r="G164" s="22" t="str">
        <x:v>CONDOMÍNIO SQUARE GARDEN QUAD - STUDIOS</x:v>
      </x:c>
      <x:c r="H164" s="22" t="str">
        <x:v>CONDOMÍNIO SQUARE GARDEN CAMPO BELO STUDIOS</x:v>
      </x:c>
      <x:c r="I164" s="22" t="str">
        <x:v>Provável</x:v>
      </x:c>
      <x:c r="J164" s="22" t="str">
        <x:v>ativo</x:v>
      </x:c>
      <x:c r="K164" s="39" t="str">
        <x:v>52.151.457/0003-62</x:v>
      </x:c>
      <x:c r="L164" s="39" t="str">
        <x:v>SU0501</x:v>
      </x:c>
      <x:c r="M164" s="39" t="str">
        <x:v>0</x:v>
      </x:c>
      <x:c r="N164" s="38" t="n">
        <x:v>46213</x:v>
      </x:c>
      <x:c r="O164" s="40" t="n">
        <x:v>697.45</x:v>
      </x:c>
      <x:c r="P164" s="22" t="str">
        <x:v>Sem andamento registrado</x:v>
      </x:c>
      <x:c r="Q164" s="22" t="str"/>
    </x:row>
    <x:row r="165">
      <x:c r="A165" s="22" t="str">
        <x:v>Camila</x:v>
      </x:c>
      <x:c r="B165" s="22" t="n">
        <x:v>125</x:v>
      </x:c>
      <x:c r="C165" s="38" t="n">
        <x:v>46259</x:v>
      </x:c>
      <x:c r="D165" s="22" t="str">
        <x:v>MANAGER</x:v>
      </x:c>
      <x:c r="E165" s="22" t="n">
        <x:v>6</x:v>
      </x:c>
      <x:c r="F165" s="22" t="n">
        <x:v>696</x:v>
      </x:c>
      <x:c r="G165" s="22" t="str">
        <x:v>CONDOMÍNIO SQUARE GARDEN QUAD - STUDIOS</x:v>
      </x:c>
      <x:c r="H165" s="22" t="str">
        <x:v>CONDOMÍNIO SQUARE GARDEN CAMPO BELO STUDIOS</x:v>
      </x:c>
      <x:c r="I165" s="22" t="str">
        <x:v>Provável</x:v>
      </x:c>
      <x:c r="J165" s="22" t="str">
        <x:v>ativo</x:v>
      </x:c>
      <x:c r="K165" s="39" t="str">
        <x:v>52.151.457/0003-62</x:v>
      </x:c>
      <x:c r="L165" s="39" t="str">
        <x:v>SU0514</x:v>
      </x:c>
      <x:c r="M165" s="39" t="str">
        <x:v>0</x:v>
      </x:c>
      <x:c r="N165" s="38" t="n">
        <x:v>46213</x:v>
      </x:c>
      <x:c r="O165" s="40" t="n">
        <x:v>683.61</x:v>
      </x:c>
      <x:c r="P165" s="22" t="str">
        <x:v>Sem andamento registrado</x:v>
      </x:c>
      <x:c r="Q165" s="22" t="str"/>
    </x:row>
    <x:row r="166">
      <x:c r="A166" s="22" t="str">
        <x:v>Camila</x:v>
      </x:c>
      <x:c r="B166" s="22" t="n">
        <x:v>126</x:v>
      </x:c>
      <x:c r="C166" s="38" t="n">
        <x:v>46259</x:v>
      </x:c>
      <x:c r="D166" s="22" t="str">
        <x:v>MANAGER</x:v>
      </x:c>
      <x:c r="E166" s="22" t="n">
        <x:v>6</x:v>
      </x:c>
      <x:c r="F166" s="22" t="n">
        <x:v>696</x:v>
      </x:c>
      <x:c r="G166" s="22" t="str">
        <x:v>CONDOMÍNIO SQUARE GARDEN QUAD - STUDIOS</x:v>
      </x:c>
      <x:c r="H166" s="22" t="str">
        <x:v>CONDOMÍNIO SQUARE GARDEN CAMPO BELO STUDIOS</x:v>
      </x:c>
      <x:c r="I166" s="22" t="str">
        <x:v>Provável</x:v>
      </x:c>
      <x:c r="J166" s="22" t="str">
        <x:v>ativo</x:v>
      </x:c>
      <x:c r="K166" s="39" t="str">
        <x:v>52.151.457/0003-62</x:v>
      </x:c>
      <x:c r="L166" s="39" t="str">
        <x:v>SU0515</x:v>
      </x:c>
      <x:c r="M166" s="39" t="str">
        <x:v>0</x:v>
      </x:c>
      <x:c r="N166" s="38" t="n">
        <x:v>46213</x:v>
      </x:c>
      <x:c r="O166" s="40" t="n">
        <x:v>683.61</x:v>
      </x:c>
      <x:c r="P166" s="22" t="str">
        <x:v>Sem andamento registrado</x:v>
      </x:c>
      <x:c r="Q166" s="22" t="str"/>
    </x:row>
    <x:row r="167">
      <x:c r="A167" s="22" t="str">
        <x:v>Camila</x:v>
      </x:c>
      <x:c r="B167" s="22" t="n">
        <x:v>127</x:v>
      </x:c>
      <x:c r="C167" s="38" t="n">
        <x:v>46259</x:v>
      </x:c>
      <x:c r="D167" s="22" t="str">
        <x:v>MANAGER</x:v>
      </x:c>
      <x:c r="E167" s="22" t="n">
        <x:v>6</x:v>
      </x:c>
      <x:c r="F167" s="22" t="n">
        <x:v>696</x:v>
      </x:c>
      <x:c r="G167" s="22" t="str">
        <x:v>CONDOMÍNIO SQUARE GARDEN QUAD - STUDIOS</x:v>
      </x:c>
      <x:c r="H167" s="22" t="str">
        <x:v>CONDOMÍNIO SQUARE GARDEN CAMPO BELO STUDIOS</x:v>
      </x:c>
      <x:c r="I167" s="22" t="str">
        <x:v>Provável</x:v>
      </x:c>
      <x:c r="J167" s="22" t="str">
        <x:v>ativo</x:v>
      </x:c>
      <x:c r="K167" s="39" t="str">
        <x:v>52.151.457/0003-62</x:v>
      </x:c>
      <x:c r="L167" s="39" t="str">
        <x:v>SU0604</x:v>
      </x:c>
      <x:c r="M167" s="39" t="str">
        <x:v>0</x:v>
      </x:c>
      <x:c r="N167" s="38" t="n">
        <x:v>46213</x:v>
      </x:c>
      <x:c r="O167" s="40" t="n">
        <x:v>697.45</x:v>
      </x:c>
      <x:c r="P167" s="22" t="str">
        <x:v>Sem andamento registrado</x:v>
      </x:c>
      <x:c r="Q167" s="22" t="str"/>
    </x:row>
    <x:row r="168">
      <x:c r="A168" s="22" t="str">
        <x:v>Camila</x:v>
      </x:c>
      <x:c r="B168" s="22" t="n">
        <x:v>128</x:v>
      </x:c>
      <x:c r="C168" s="38" t="n">
        <x:v>46259</x:v>
      </x:c>
      <x:c r="D168" s="22" t="str">
        <x:v>MANAGER</x:v>
      </x:c>
      <x:c r="E168" s="22" t="n">
        <x:v>6</x:v>
      </x:c>
      <x:c r="F168" s="22" t="n">
        <x:v>696</x:v>
      </x:c>
      <x:c r="G168" s="22" t="str">
        <x:v>CONDOMÍNIO SQUARE GARDEN QUAD - STUDIOS</x:v>
      </x:c>
      <x:c r="H168" s="22" t="str">
        <x:v>CONDOMÍNIO SQUARE GARDEN CAMPO BELO STUDIOS</x:v>
      </x:c>
      <x:c r="I168" s="22" t="str">
        <x:v>Provável</x:v>
      </x:c>
      <x:c r="J168" s="22" t="str">
        <x:v>ativo</x:v>
      </x:c>
      <x:c r="K168" s="39" t="str">
        <x:v>52.151.457/0003-62</x:v>
      </x:c>
      <x:c r="L168" s="39" t="str">
        <x:v>SU0607</x:v>
      </x:c>
      <x:c r="M168" s="39" t="str">
        <x:v>0</x:v>
      </x:c>
      <x:c r="N168" s="38" t="n">
        <x:v>46213</x:v>
      </x:c>
      <x:c r="O168" s="40" t="n">
        <x:v>683.61</x:v>
      </x:c>
      <x:c r="P168" s="22" t="str">
        <x:v>Sem andamento registrado</x:v>
      </x:c>
      <x:c r="Q168" s="22" t="str"/>
    </x:row>
    <x:row r="169">
      <x:c r="A169" s="22" t="str">
        <x:v>Camila</x:v>
      </x:c>
      <x:c r="B169" s="22" t="n">
        <x:v>129</x:v>
      </x:c>
      <x:c r="C169" s="38" t="n">
        <x:v>46259</x:v>
      </x:c>
      <x:c r="D169" s="22" t="str">
        <x:v>MANAGER</x:v>
      </x:c>
      <x:c r="E169" s="22" t="n">
        <x:v>6</x:v>
      </x:c>
      <x:c r="F169" s="22" t="n">
        <x:v>696</x:v>
      </x:c>
      <x:c r="G169" s="22" t="str">
        <x:v>CONDOMÍNIO SQUARE GARDEN QUAD - STUDIOS</x:v>
      </x:c>
      <x:c r="H169" s="22" t="str">
        <x:v>CONDOMÍNIO SQUARE GARDEN CAMPO BELO STUDIOS</x:v>
      </x:c>
      <x:c r="I169" s="22" t="str">
        <x:v>Provável</x:v>
      </x:c>
      <x:c r="J169" s="22" t="str">
        <x:v>ativo</x:v>
      </x:c>
      <x:c r="K169" s="39" t="str">
        <x:v>52.151.457/0003-62</x:v>
      </x:c>
      <x:c r="L169" s="39" t="str">
        <x:v>SU0707</x:v>
      </x:c>
      <x:c r="M169" s="39" t="str">
        <x:v>0</x:v>
      </x:c>
      <x:c r="N169" s="38" t="n">
        <x:v>46213</x:v>
      </x:c>
      <x:c r="O169" s="40" t="n">
        <x:v>683.61</x:v>
      </x:c>
      <x:c r="P169" s="22" t="str">
        <x:v>Sem andamento registrado</x:v>
      </x:c>
      <x:c r="Q169" s="22" t="str"/>
    </x:row>
    <x:row r="170">
      <x:c r="A170" s="22" t="str">
        <x:v>Camila</x:v>
      </x:c>
      <x:c r="B170" s="22" t="n">
        <x:v>130</x:v>
      </x:c>
      <x:c r="C170" s="38" t="n">
        <x:v>46259</x:v>
      </x:c>
      <x:c r="D170" s="22" t="str">
        <x:v>MANAGER</x:v>
      </x:c>
      <x:c r="E170" s="22" t="n">
        <x:v>6</x:v>
      </x:c>
      <x:c r="F170" s="22" t="n">
        <x:v>696</x:v>
      </x:c>
      <x:c r="G170" s="22" t="str">
        <x:v>CONDOMÍNIO SQUARE GARDEN QUAD - STUDIOS</x:v>
      </x:c>
      <x:c r="H170" s="22" t="str">
        <x:v>CONDOMÍNIO SQUARE GARDEN CAMPO BELO STUDIOS</x:v>
      </x:c>
      <x:c r="I170" s="22" t="str">
        <x:v>Provável</x:v>
      </x:c>
      <x:c r="J170" s="22" t="str">
        <x:v>ativo</x:v>
      </x:c>
      <x:c r="K170" s="39" t="str">
        <x:v>52.151.457/0003-62</x:v>
      </x:c>
      <x:c r="L170" s="39" t="str">
        <x:v>SU0714</x:v>
      </x:c>
      <x:c r="M170" s="39" t="str">
        <x:v>0</x:v>
      </x:c>
      <x:c r="N170" s="38" t="n">
        <x:v>46213</x:v>
      </x:c>
      <x:c r="O170" s="40" t="n">
        <x:v>683.61</x:v>
      </x:c>
      <x:c r="P170" s="22" t="str">
        <x:v>Sem andamento registrado</x:v>
      </x:c>
      <x:c r="Q170" s="22" t="str"/>
    </x:row>
    <x:row r="171">
      <x:c r="A171" s="22" t="str">
        <x:v>Camila</x:v>
      </x:c>
      <x:c r="B171" s="22" t="n">
        <x:v>131</x:v>
      </x:c>
      <x:c r="C171" s="38" t="n">
        <x:v>46259</x:v>
      </x:c>
      <x:c r="D171" s="22" t="str">
        <x:v>MANAGER</x:v>
      </x:c>
      <x:c r="E171" s="22" t="n">
        <x:v>6</x:v>
      </x:c>
      <x:c r="F171" s="22" t="n">
        <x:v>696</x:v>
      </x:c>
      <x:c r="G171" s="22" t="str">
        <x:v>CONDOMÍNIO SQUARE GARDEN QUAD - STUDIOS</x:v>
      </x:c>
      <x:c r="H171" s="22" t="str">
        <x:v>CONDOMÍNIO SQUARE GARDEN CAMPO BELO STUDIOS</x:v>
      </x:c>
      <x:c r="I171" s="22" t="str">
        <x:v>Provável</x:v>
      </x:c>
      <x:c r="J171" s="22" t="str">
        <x:v>ativo</x:v>
      </x:c>
      <x:c r="K171" s="39" t="str">
        <x:v>52.151.457/0003-62</x:v>
      </x:c>
      <x:c r="L171" s="39" t="str">
        <x:v>SU0715</x:v>
      </x:c>
      <x:c r="M171" s="39" t="str">
        <x:v>0</x:v>
      </x:c>
      <x:c r="N171" s="38" t="str">
        <x:v>10/06/2026 e 10/07/2026</x:v>
      </x:c>
      <x:c r="O171" s="40" t="n">
        <x:v>1300</x:v>
      </x:c>
      <x:c r="P171" s="22" t="str">
        <x:v>Sem andamento registrado</x:v>
      </x:c>
      <x:c r="Q171" s="22" t="str"/>
    </x:row>
    <x:row r="172">
      <x:c r="A172" s="22" t="str">
        <x:v>Camila</x:v>
      </x:c>
      <x:c r="B172" s="22" t="n">
        <x:v>132</x:v>
      </x:c>
      <x:c r="C172" s="38" t="n">
        <x:v>46259</x:v>
      </x:c>
      <x:c r="D172" s="22" t="str">
        <x:v>MANAGER</x:v>
      </x:c>
      <x:c r="E172" s="22" t="n">
        <x:v>6</x:v>
      </x:c>
      <x:c r="F172" s="22" t="n">
        <x:v>696</x:v>
      </x:c>
      <x:c r="G172" s="22" t="str">
        <x:v>CONDOMÍNIO SQUARE GARDEN QUAD - STUDIOS</x:v>
      </x:c>
      <x:c r="H172" s="22" t="str">
        <x:v>CONDOMÍNIO SQUARE GARDEN CAMPO BELO STUDIOS</x:v>
      </x:c>
      <x:c r="I172" s="22" t="str">
        <x:v>Provável</x:v>
      </x:c>
      <x:c r="J172" s="22" t="str">
        <x:v>ativo</x:v>
      </x:c>
      <x:c r="K172" s="39" t="str">
        <x:v>52.151.457/0003-62</x:v>
      </x:c>
      <x:c r="L172" s="39" t="str">
        <x:v>SU0908</x:v>
      </x:c>
      <x:c r="M172" s="39" t="str">
        <x:v>0</x:v>
      </x:c>
      <x:c r="N172" s="38" t="n">
        <x:v>46213</x:v>
      </x:c>
      <x:c r="O172" s="40" t="n">
        <x:v>683.61</x:v>
      </x:c>
      <x:c r="P172" s="22" t="str">
        <x:v>Sem andamento registrado</x:v>
      </x:c>
      <x:c r="Q172" s="22" t="str"/>
    </x:row>
    <x:row r="173">
      <x:c r="A173" s="22" t="str">
        <x:v>Dani</x:v>
      </x:c>
      <x:c r="B173" s="22" t="n">
        <x:v>2</x:v>
      </x:c>
      <x:c r="C173" s="38" t="n">
        <x:v>46245</x:v>
      </x:c>
      <x:c r="D173" s="22" t="str">
        <x:v>HUBERT</x:v>
      </x:c>
      <x:c r="E173" s="22" t="n">
        <x:v>1</x:v>
      </x:c>
      <x:c r="F173" s="22" t="n">
        <x:v>2430</x:v>
      </x:c>
      <x:c r="G173" s="22" t="str">
        <x:v>CONDOMÍNIO FOLLOW – THE EUREKA BUILDING</x:v>
      </x:c>
      <x:c r="H173" s="22" t="str">
        <x:v>CONDOMÍNIO FOLLOW – THE EUREKA BUILDING</x:v>
      </x:c>
      <x:c r="I173" s="22" t="str">
        <x:v>Confirmado</x:v>
      </x:c>
      <x:c r="J173" s="22" t="str">
        <x:v>ativo</x:v>
      </x:c>
      <x:c r="K173" s="39" t="str">
        <x:v>26.307.047/0001-96</x:v>
      </x:c>
      <x:c r="L173" s="39" t="str">
        <x:v>1312</x:v>
      </x:c>
      <x:c r="M173" s="39" t="str">
        <x:v>0</x:v>
      </x:c>
      <x:c r="N173" s="38" t="n">
        <x:v>46178</x:v>
      </x:c>
      <x:c r="O173" s="40" t="n">
        <x:v>1330.47</x:v>
      </x:c>
      <x:c r="P173" s="22" t="str">
        <x:v>Cobrança realizada</x:v>
      </x:c>
      <x:c r="Q173" s="22" t="str">
        <x:v>Cobrança: 71 9141-9225 e e-mail - 24/08</x:v>
      </x:c>
    </x:row>
    <x:row r="174">
      <x:c r="A174" s="22" t="str">
        <x:v>Dani</x:v>
      </x:c>
      <x:c r="B174" s="22" t="n">
        <x:v>3</x:v>
      </x:c>
      <x:c r="C174" s="38" t="n">
        <x:v>46245</x:v>
      </x:c>
      <x:c r="D174" s="22" t="str">
        <x:v>HUBERT</x:v>
      </x:c>
      <x:c r="E174" s="22" t="n">
        <x:v>1</x:v>
      </x:c>
      <x:c r="F174" s="22" t="n">
        <x:v>2430</x:v>
      </x:c>
      <x:c r="G174" s="22" t="str">
        <x:v>CONDOMÍNIO FOLLOW – THE EUREKA BUILDING</x:v>
      </x:c>
      <x:c r="H174" s="22" t="str">
        <x:v>CONDOMÍNIO FOLLOW – THE EUREKA BUILDING</x:v>
      </x:c>
      <x:c r="I174" s="22" t="str">
        <x:v>Confirmado</x:v>
      </x:c>
      <x:c r="J174" s="22" t="str">
        <x:v>ativo</x:v>
      </x:c>
      <x:c r="K174" s="39" t="str">
        <x:v>26.307.047/0001-96</x:v>
      </x:c>
      <x:c r="L174" s="39" t="str">
        <x:v>2305</x:v>
      </x:c>
      <x:c r="M174" s="39" t="str">
        <x:v>0</x:v>
      </x:c>
      <x:c r="N174" s="38" t="n">
        <x:v>46178</x:v>
      </x:c>
      <x:c r="O174" s="40" t="n">
        <x:v>1318.06</x:v>
      </x:c>
      <x:c r="P174" s="22" t="str">
        <x:v>Cobrança realizada</x:v>
      </x:c>
      <x:c r="Q174" s="22" t="str">
        <x:v>Cobrança: 11 99212-6536 e e-mail - 24/08</x:v>
      </x:c>
    </x:row>
    <x:row r="175">
      <x:c r="A175" s="22" t="str">
        <x:v>Dani</x:v>
      </x:c>
      <x:c r="B175" s="22" t="n">
        <x:v>4</x:v>
      </x:c>
      <x:c r="C175" s="38" t="n">
        <x:v>46245</x:v>
      </x:c>
      <x:c r="D175" s="22" t="str">
        <x:v>GK</x:v>
      </x:c>
      <x:c r="E175" s="22" t="n">
        <x:v>1</x:v>
      </x:c>
      <x:c r="F175" s="22" t="n">
        <x:v>2094</x:v>
      </x:c>
      <x:c r="G175" s="22" t="str">
        <x:v>CONDOMÍNIO GARDEN CLUB BARRA FUNDA</x:v>
      </x:c>
      <x:c r="H175" s="22" t="str">
        <x:v>CONDOMÍNIO GARDEN CLUB BARRA FUNDA</x:v>
      </x:c>
      <x:c r="I175" s="22" t="str">
        <x:v>Confirmado</x:v>
      </x:c>
      <x:c r="J175" s="22" t="str">
        <x:v>ativo</x:v>
      </x:c>
      <x:c r="K175" s="39" t="str">
        <x:v>13.018.928/0001-45</x:v>
      </x:c>
      <x:c r="L175" s="39" t="str">
        <x:v>44 A</x:v>
      </x:c>
      <x:c r="M175" s="39" t="str">
        <x:v>A</x:v>
      </x:c>
      <x:c r="N175" s="38" t="n">
        <x:v>46213</x:v>
      </x:c>
      <x:c r="O175" s="40" t="n">
        <x:v>960.15</x:v>
      </x:c>
      <x:c r="P175" s="22" t="str">
        <x:v>Cobrança realizada</x:v>
      </x:c>
      <x:c r="Q175" s="22" t="str">
        <x:v>Cobrança: 11 98558-5819 e e-mail - 24/08</x:v>
      </x:c>
    </x:row>
    <x:row r="176">
      <x:c r="A176" s="22" t="str">
        <x:v>Dani</x:v>
      </x:c>
      <x:c r="B176" s="22" t="n">
        <x:v>5</x:v>
      </x:c>
      <x:c r="C176" s="38" t="n">
        <x:v>46245</x:v>
      </x:c>
      <x:c r="D176" s="22" t="str">
        <x:v>BBZ</x:v>
      </x:c>
      <x:c r="E176" s="22" t="n">
        <x:v>1</x:v>
      </x:c>
      <x:c r="F176" s="22" t="n">
        <x:v>364</x:v>
      </x:c>
      <x:c r="G176" s="22" t="str">
        <x:v>CONDOMINIO IN JARDIM SUL GALERY</x:v>
      </x:c>
      <x:c r="H176" s="22" t="str">
        <x:v>CONDOMÍNIO IN JARDIM SUL GALLERY</x:v>
      </x:c>
      <x:c r="I176" s="22" t="str">
        <x:v>Confirmado</x:v>
      </x:c>
      <x:c r="J176" s="22" t="str">
        <x:v>ativo</x:v>
      </x:c>
      <x:c r="K176" s="39" t="str">
        <x:v>20.456.882/0001-01</x:v>
      </x:c>
      <x:c r="L176" s="39" t="str">
        <x:v>74 B</x:v>
      </x:c>
      <x:c r="M176" s="39" t="str">
        <x:v>B</x:v>
      </x:c>
      <x:c r="N176" s="38" t="n">
        <x:v>46204</x:v>
      </x:c>
      <x:c r="O176" s="40" t="n">
        <x:v>1065.05</x:v>
      </x:c>
      <x:c r="P176" s="22" t="str">
        <x:v>Com acordo</x:v>
      </x:c>
      <x:c r="Q176" s="22" t="str">
        <x:v>admolirioimoveis@outlook.com | Acordo com venc 25/08</x:v>
      </x:c>
    </x:row>
    <x:row r="177">
      <x:c r="A177" s="22" t="str">
        <x:v>Dani</x:v>
      </x:c>
      <x:c r="B177" s="22" t="n">
        <x:v>6</x:v>
      </x:c>
      <x:c r="C177" s="38" t="n">
        <x:v>46245</x:v>
      </x:c>
      <x:c r="D177" s="22" t="str">
        <x:v>BBZ</x:v>
      </x:c>
      <x:c r="E177" s="22" t="n">
        <x:v>1</x:v>
      </x:c>
      <x:c r="F177" s="22" t="n">
        <x:v>364</x:v>
      </x:c>
      <x:c r="G177" s="22" t="str">
        <x:v>CONDOMINIO IN JARDIM SUL GALERY</x:v>
      </x:c>
      <x:c r="H177" s="22" t="str">
        <x:v>CONDOMÍNIO IN JARDIM SUL GALLERY</x:v>
      </x:c>
      <x:c r="I177" s="22" t="str">
        <x:v>Confirmado</x:v>
      </x:c>
      <x:c r="J177" s="22" t="str">
        <x:v>ativo</x:v>
      </x:c>
      <x:c r="K177" s="39" t="str">
        <x:v>20.456.882/0001-01</x:v>
      </x:c>
      <x:c r="L177" s="39" t="str">
        <x:v>183 B</x:v>
      </x:c>
      <x:c r="M177" s="39" t="str">
        <x:v>B</x:v>
      </x:c>
      <x:c r="N177" s="38" t="n">
        <x:v>46204</x:v>
      </x:c>
      <x:c r="O177" s="40" t="n">
        <x:v>1220.64</x:v>
      </x:c>
      <x:c r="P177" s="22" t="str">
        <x:v>Com acordo</x:v>
      </x:c>
      <x:c r="Q177" s="22" t="str">
        <x:v>Acordo com venc 24/08</x:v>
      </x:c>
    </x:row>
    <x:row r="178">
      <x:c r="A178" s="22" t="str">
        <x:v>Dani</x:v>
      </x:c>
      <x:c r="B178" s="22" t="n">
        <x:v>7</x:v>
      </x:c>
      <x:c r="C178" s="38" t="n">
        <x:v>46245</x:v>
      </x:c>
      <x:c r="D178" s="22" t="str">
        <x:v>BBZ</x:v>
      </x:c>
      <x:c r="E178" s="22" t="n">
        <x:v>1</x:v>
      </x:c>
      <x:c r="F178" s="22" t="n">
        <x:v>364</x:v>
      </x:c>
      <x:c r="G178" s="22" t="str">
        <x:v>CONDOMINIO IN JARDIM SUL GALERY</x:v>
      </x:c>
      <x:c r="H178" s="22" t="str">
        <x:v>CONDOMÍNIO IN JARDIM SUL GALLERY</x:v>
      </x:c>
      <x:c r="I178" s="22" t="str">
        <x:v>Confirmado</x:v>
      </x:c>
      <x:c r="J178" s="22" t="str">
        <x:v>ativo</x:v>
      </x:c>
      <x:c r="K178" s="39" t="str">
        <x:v>20.456.882/0001-01</x:v>
      </x:c>
      <x:c r="L178" s="39" t="str">
        <x:v>153 A</x:v>
      </x:c>
      <x:c r="M178" s="39" t="str">
        <x:v>A</x:v>
      </x:c>
      <x:c r="N178" s="38" t="str">
        <x:v>01/05/2026 E 01/07/2026</x:v>
      </x:c>
      <x:c r="O178" s="40" t="n">
        <x:v>2707.84</x:v>
      </x:c>
      <x:c r="P178" s="22" t="str">
        <x:v>Sem contato</x:v>
      </x:c>
      <x:c r="Q178" s="22" t="str">
        <x:v>Achar ctt | Cobrança: e-mail - 24/08</x:v>
      </x:c>
    </x:row>
    <x:row r="179">
      <x:c r="A179" s="22" t="str">
        <x:v>Dani</x:v>
      </x:c>
      <x:c r="B179" s="22" t="n">
        <x:v>8</x:v>
      </x:c>
      <x:c r="C179" s="38" t="n">
        <x:v>46245</x:v>
      </x:c>
      <x:c r="D179" s="22" t="str">
        <x:v>BBZ</x:v>
      </x:c>
      <x:c r="E179" s="22" t="n">
        <x:v>1</x:v>
      </x:c>
      <x:c r="F179" s="22" t="n">
        <x:v>364</x:v>
      </x:c>
      <x:c r="G179" s="22" t="str">
        <x:v>CONDOMINIO IN JARDIM SUL GALERY</x:v>
      </x:c>
      <x:c r="H179" s="22" t="str">
        <x:v>CONDOMÍNIO IN JARDIM SUL GALLERY</x:v>
      </x:c>
      <x:c r="I179" s="22" t="str">
        <x:v>Confirmado</x:v>
      </x:c>
      <x:c r="J179" s="22" t="str">
        <x:v>ativo</x:v>
      </x:c>
      <x:c r="K179" s="39" t="str">
        <x:v>20.456.882/0001-01</x:v>
      </x:c>
      <x:c r="L179" s="39" t="str">
        <x:v>213 A</x:v>
      </x:c>
      <x:c r="M179" s="39" t="str">
        <x:v>A</x:v>
      </x:c>
      <x:c r="N179" s="38" t="n">
        <x:v>46204</x:v>
      </x:c>
      <x:c r="O179" s="40" t="n">
        <x:v>1356.86</x:v>
      </x:c>
      <x:c r="P179" s="22" t="str">
        <x:v>Com acordo</x:v>
      </x:c>
      <x:c r="Q179" s="22" t="str">
        <x:v>bruno.seike@gmail.com | Acordo com venc 26/08</x:v>
      </x:c>
    </x:row>
    <x:row r="180">
      <x:c r="A180" s="22" t="str">
        <x:v>Dani</x:v>
      </x:c>
      <x:c r="B180" s="22" t="n">
        <x:v>9</x:v>
      </x:c>
      <x:c r="C180" s="38" t="n">
        <x:v>46245</x:v>
      </x:c>
      <x:c r="D180" s="22" t="str">
        <x:v>TECMOBILI</x:v>
      </x:c>
      <x:c r="E180" s="22" t="n">
        <x:v>1</x:v>
      </x:c>
      <x:c r="F180" s="22" t="n">
        <x:v>608</x:v>
      </x:c>
      <x:c r="G180" s="22" t="str">
        <x:v>CONDOMÍNIO KEY MOEMA</x:v>
      </x:c>
      <x:c r="H180" s="22" t="str">
        <x:v>CONDOMÍNIO KEY MOEMA</x:v>
      </x:c>
      <x:c r="I180" s="22" t="str">
        <x:v>Confirmado</x:v>
      </x:c>
      <x:c r="J180" s="22" t="str">
        <x:v>ativo</x:v>
      </x:c>
      <x:c r="K180" s="39" t="str">
        <x:v>42.331.105/0001-73</x:v>
      </x:c>
      <x:c r="L180" s="39" t="str">
        <x:v>1006</x:v>
      </x:c>
      <x:c r="M180" s="39" t="str">
        <x:v>0</x:v>
      </x:c>
      <x:c r="N180" s="38" t="n">
        <x:v>46183</x:v>
      </x:c>
      <x:c r="O180" s="40" t="n">
        <x:v>1191.03</x:v>
      </x:c>
      <x:c r="P180" s="22" t="str">
        <x:v>Cobrança realizada</x:v>
      </x:c>
      <x:c r="Q180" s="22" t="str">
        <x:v>Cobrança: 11 99767-2665 e e-mail - 24/08</x:v>
      </x:c>
    </x:row>
    <x:row r="181">
      <x:c r="A181" s="22" t="str">
        <x:v>Dani</x:v>
      </x:c>
      <x:c r="B181" s="22" t="n">
        <x:v>10</x:v>
      </x:c>
      <x:c r="C181" s="38" t="n">
        <x:v>46245</x:v>
      </x:c>
      <x:c r="D181" s="22" t="str">
        <x:v>Villágua</x:v>
      </x:c>
      <x:c r="E181" s="22" t="n">
        <x:v>1</x:v>
      </x:c>
      <x:c r="F181" s="22" t="n">
        <x:v>73</x:v>
      </x:c>
      <x:c r="G181" s="22" t="str">
        <x:v>CONDOMÍNIO SQUARE GUARULHOS</x:v>
      </x:c>
      <x:c r="H181" s="22" t="str">
        <x:v>CONDOMÍNIO SQUARE GUARULHOS</x:v>
      </x:c>
      <x:c r="I181" s="22" t="str">
        <x:v>Confirmado</x:v>
      </x:c>
      <x:c r="J181" s="22" t="str">
        <x:v>ativo</x:v>
      </x:c>
      <x:c r="K181" s="39" t="str">
        <x:v>14.234.598/0001-98</x:v>
      </x:c>
      <x:c r="L181" s="39" t="str">
        <x:v>73 C</x:v>
      </x:c>
      <x:c r="M181" s="39" t="str">
        <x:v>C</x:v>
      </x:c>
      <x:c r="N181" s="38" t="n">
        <x:v>46211</x:v>
      </x:c>
      <x:c r="O181" s="40" t="n">
        <x:v>1679.34</x:v>
      </x:c>
      <x:c r="P181" s="22" t="str">
        <x:v>Sem andamento registrado</x:v>
      </x:c>
      <x:c r="Q181" s="22" t="str"/>
    </x:row>
    <x:row r="182">
      <x:c r="A182" s="22" t="str">
        <x:v>Dani</x:v>
      </x:c>
      <x:c r="B182" s="22" t="n">
        <x:v>11</x:v>
      </x:c>
      <x:c r="C182" s="38" t="n">
        <x:v>46245</x:v>
      </x:c>
      <x:c r="D182" s="22" t="str">
        <x:v>Villágua</x:v>
      </x:c>
      <x:c r="E182" s="22" t="n">
        <x:v>1</x:v>
      </x:c>
      <x:c r="F182" s="22" t="n">
        <x:v>73</x:v>
      </x:c>
      <x:c r="G182" s="22" t="str">
        <x:v>CONDOMÍNIO SQUARE GUARULHOS</x:v>
      </x:c>
      <x:c r="H182" s="22" t="str">
        <x:v>CONDOMÍNIO SQUARE GUARULHOS</x:v>
      </x:c>
      <x:c r="I182" s="22" t="str">
        <x:v>Confirmado</x:v>
      </x:c>
      <x:c r="J182" s="22" t="str">
        <x:v>ativo</x:v>
      </x:c>
      <x:c r="K182" s="39" t="str">
        <x:v>14.234.598/0001-98</x:v>
      </x:c>
      <x:c r="L182" s="39" t="str">
        <x:v>101 C</x:v>
      </x:c>
      <x:c r="M182" s="39" t="str">
        <x:v>C</x:v>
      </x:c>
      <x:c r="N182" s="38" t="n">
        <x:v>46216</x:v>
      </x:c>
      <x:c r="O182" s="40" t="n">
        <x:v>599.76</x:v>
      </x:c>
      <x:c r="P182" s="22" t="str">
        <x:v>Sem andamento registrado</x:v>
      </x:c>
      <x:c r="Q182" s="22" t="str"/>
    </x:row>
    <x:row r="183">
      <x:c r="A183" s="22" t="str">
        <x:v>Dani</x:v>
      </x:c>
      <x:c r="B183" s="22" t="n">
        <x:v>12</x:v>
      </x:c>
      <x:c r="C183" s="38" t="n">
        <x:v>46247</x:v>
      </x:c>
      <x:c r="D183" s="22" t="str">
        <x:v>Verti</x:v>
      </x:c>
      <x:c r="E183" s="22" t="n">
        <x:v>2</x:v>
      </x:c>
      <x:c r="F183" s="22" t="n">
        <x:v>670</x:v>
      </x:c>
      <x:c r="G183" s="22" t="str">
        <x:v>CONDOMÍNIO VERDANA JARDIM PRUDÊNCIA – SETOR RESIDENCIAL</x:v>
      </x:c>
      <x:c r="H183" s="22" t="str">
        <x:v>VERDANA JARDIM PRUDENCIA SETOR RESIDENCIAL</x:v>
      </x:c>
      <x:c r="I183" s="22" t="str">
        <x:v>Confirmado</x:v>
      </x:c>
      <x:c r="J183" s="22" t="str">
        <x:v>ativo</x:v>
      </x:c>
      <x:c r="K183" s="39" t="str">
        <x:v>57.897.276/0001-31</x:v>
      </x:c>
      <x:c r="L183" s="39" t="str">
        <x:v>33-01</x:v>
      </x:c>
      <x:c r="M183" s="39" t="str">
        <x:v>1</x:v>
      </x:c>
      <x:c r="N183" s="38" t="n">
        <x:v>46213</x:v>
      </x:c>
      <x:c r="O183" s="40" t="n">
        <x:v>1339.06</x:v>
      </x:c>
      <x:c r="P183" s="22" t="str">
        <x:v>Cobrança realizada</x:v>
      </x:c>
      <x:c r="Q183" s="22" t="str">
        <x:v>Cobrança: 11 97375-0837 e e-mail - 24/08</x:v>
      </x:c>
    </x:row>
    <x:row r="184">
      <x:c r="A184" s="22" t="str">
        <x:v>Dani</x:v>
      </x:c>
      <x:c r="B184" s="22" t="n">
        <x:v>13</x:v>
      </x:c>
      <x:c r="C184" s="38" t="n">
        <x:v>46247</x:v>
      </x:c>
      <x:c r="D184" s="22" t="str">
        <x:v>Verti</x:v>
      </x:c>
      <x:c r="E184" s="22" t="n">
        <x:v>2</x:v>
      </x:c>
      <x:c r="F184" s="22" t="n">
        <x:v>670</x:v>
      </x:c>
      <x:c r="G184" s="22" t="str">
        <x:v>CONDOMÍNIO VERDANA JARDIM PRUDÊNCIA – SETOR RESIDENCIAL</x:v>
      </x:c>
      <x:c r="H184" s="22" t="str">
        <x:v>VERDANA JARDIM PRUDENCIA SETOR RESIDENCIAL</x:v>
      </x:c>
      <x:c r="I184" s="22" t="str">
        <x:v>Confirmado</x:v>
      </x:c>
      <x:c r="J184" s="22" t="str">
        <x:v>ativo</x:v>
      </x:c>
      <x:c r="K184" s="39" t="str">
        <x:v>57.897.276/0001-31</x:v>
      </x:c>
      <x:c r="L184" s="39" t="str">
        <x:v>46-01</x:v>
      </x:c>
      <x:c r="M184" s="39" t="str">
        <x:v>1</x:v>
      </x:c>
      <x:c r="N184" s="38" t="n">
        <x:v>46213</x:v>
      </x:c>
      <x:c r="O184" s="40" t="n">
        <x:v>1731.21</x:v>
      </x:c>
      <x:c r="P184" s="22" t="str">
        <x:v>Cobrança realizada</x:v>
      </x:c>
      <x:c r="Q184" s="22" t="str">
        <x:v>Cobrança: 11 94739-8393 e e-mail - 24/08</x:v>
      </x:c>
    </x:row>
    <x:row r="185">
      <x:c r="A185" s="22" t="str">
        <x:v>Dani</x:v>
      </x:c>
      <x:c r="B185" s="22" t="n">
        <x:v>14</x:v>
      </x:c>
      <x:c r="C185" s="38" t="n">
        <x:v>46247</x:v>
      </x:c>
      <x:c r="D185" s="22" t="str">
        <x:v>Verti</x:v>
      </x:c>
      <x:c r="E185" s="22" t="n">
        <x:v>2</x:v>
      </x:c>
      <x:c r="F185" s="22" t="n">
        <x:v>670</x:v>
      </x:c>
      <x:c r="G185" s="22" t="str">
        <x:v>CONDOMÍNIO VERDANA JARDIM PRUDÊNCIA – SETOR RESIDENCIAL</x:v>
      </x:c>
      <x:c r="H185" s="22" t="str">
        <x:v>VERDANA JARDIM PRUDENCIA SETOR RESIDENCIAL</x:v>
      </x:c>
      <x:c r="I185" s="22" t="str">
        <x:v>Confirmado</x:v>
      </x:c>
      <x:c r="J185" s="22" t="str">
        <x:v>ativo</x:v>
      </x:c>
      <x:c r="K185" s="39" t="str">
        <x:v>57.897.276/0001-31</x:v>
      </x:c>
      <x:c r="L185" s="39" t="str">
        <x:v>105-01</x:v>
      </x:c>
      <x:c r="M185" s="39" t="str">
        <x:v>1</x:v>
      </x:c>
      <x:c r="N185" s="38" t="str">
        <x:v>10/06/2026 e 10/07/2026</x:v>
      </x:c>
      <x:c r="O185" s="40" t="n">
        <x:v>2408</x:v>
      </x:c>
      <x:c r="P185" s="22" t="str">
        <x:v>Contato ativo</x:v>
      </x:c>
      <x:c r="Q185" s="22" t="str">
        <x:v>Ctt: 11 95491-8877 | Contato ativo</x:v>
      </x:c>
    </x:row>
    <x:row r="186">
      <x:c r="A186" s="22" t="str">
        <x:v>Dani</x:v>
      </x:c>
      <x:c r="B186" s="22" t="n">
        <x:v>15</x:v>
      </x:c>
      <x:c r="C186" s="38" t="n">
        <x:v>46247</x:v>
      </x:c>
      <x:c r="D186" s="22" t="str">
        <x:v>Verti</x:v>
      </x:c>
      <x:c r="E186" s="22" t="n">
        <x:v>2</x:v>
      </x:c>
      <x:c r="F186" s="22" t="n">
        <x:v>670</x:v>
      </x:c>
      <x:c r="G186" s="22" t="str">
        <x:v>CONDOMÍNIO VERDANA JARDIM PRUDÊNCIA – SETOR RESIDENCIAL</x:v>
      </x:c>
      <x:c r="H186" s="22" t="str">
        <x:v>VERDANA JARDIM PRUDENCIA SETOR RESIDENCIAL</x:v>
      </x:c>
      <x:c r="I186" s="22" t="str">
        <x:v>Confirmado</x:v>
      </x:c>
      <x:c r="J186" s="22" t="str">
        <x:v>ativo</x:v>
      </x:c>
      <x:c r="K186" s="39" t="str">
        <x:v>57.897.276/0001-31</x:v>
      </x:c>
      <x:c r="L186" s="39" t="str">
        <x:v>165-01</x:v>
      </x:c>
      <x:c r="M186" s="39" t="str">
        <x:v>1</x:v>
      </x:c>
      <x:c r="N186" s="38" t="n">
        <x:v>46213</x:v>
      </x:c>
      <x:c r="O186" s="40" t="n">
        <x:v>1124.19</x:v>
      </x:c>
      <x:c r="P186" s="22" t="str">
        <x:v>Cobrança realizada</x:v>
      </x:c>
      <x:c r="Q186" s="22" t="str">
        <x:v>Cobrança: 11 96477-2302 e e-mail - 24/08</x:v>
      </x:c>
    </x:row>
    <x:row r="187">
      <x:c r="A187" s="22" t="str">
        <x:v>Dani</x:v>
      </x:c>
      <x:c r="B187" s="22" t="n">
        <x:v>16</x:v>
      </x:c>
      <x:c r="C187" s="38" t="n">
        <x:v>46247</x:v>
      </x:c>
      <x:c r="D187" s="22" t="str">
        <x:v>Verti</x:v>
      </x:c>
      <x:c r="E187" s="22" t="n">
        <x:v>2</x:v>
      </x:c>
      <x:c r="F187" s="22" t="n">
        <x:v>670</x:v>
      </x:c>
      <x:c r="G187" s="22" t="str">
        <x:v>CONDOMÍNIO VERDANA JARDIM PRUDÊNCIA – SETOR RESIDENCIAL</x:v>
      </x:c>
      <x:c r="H187" s="22" t="str">
        <x:v>VERDANA JARDIM PRUDENCIA SETOR RESIDENCIAL</x:v>
      </x:c>
      <x:c r="I187" s="22" t="str">
        <x:v>Confirmado</x:v>
      </x:c>
      <x:c r="J187" s="22" t="str">
        <x:v>ativo</x:v>
      </x:c>
      <x:c r="K187" s="39" t="str">
        <x:v>57.897.276/0001-31</x:v>
      </x:c>
      <x:c r="L187" s="39" t="str">
        <x:v>184-01</x:v>
      </x:c>
      <x:c r="M187" s="39" t="str">
        <x:v>1</x:v>
      </x:c>
      <x:c r="N187" s="38" t="n">
        <x:v>46183</x:v>
      </x:c>
      <x:c r="O187" s="40" t="n">
        <x:v>1589.01</x:v>
      </x:c>
      <x:c r="P187" s="22" t="str">
        <x:v>Com acordo</x:v>
      </x:c>
      <x:c r="Q187" s="22" t="str">
        <x:v>rodrigo.jsouza@gmail.com | Acordo com venc 31/08</x:v>
      </x:c>
    </x:row>
    <x:row r="188">
      <x:c r="A188" s="22" t="str">
        <x:v>Dani</x:v>
      </x:c>
      <x:c r="B188" s="22" t="n">
        <x:v>17</x:v>
      </x:c>
      <x:c r="C188" s="38" t="n">
        <x:v>46247</x:v>
      </x:c>
      <x:c r="D188" s="22" t="str">
        <x:v>Verti</x:v>
      </x:c>
      <x:c r="E188" s="22" t="n">
        <x:v>2</x:v>
      </x:c>
      <x:c r="F188" s="22" t="n">
        <x:v>670</x:v>
      </x:c>
      <x:c r="G188" s="22" t="str">
        <x:v>CONDOMÍNIO VERDANA JARDIM PRUDÊNCIA – SETOR RESIDENCIAL</x:v>
      </x:c>
      <x:c r="H188" s="22" t="str">
        <x:v>VERDANA JARDIM PRUDENCIA SETOR RESIDENCIAL</x:v>
      </x:c>
      <x:c r="I188" s="22" t="str">
        <x:v>Confirmado</x:v>
      </x:c>
      <x:c r="J188" s="22" t="str">
        <x:v>ativo</x:v>
      </x:c>
      <x:c r="K188" s="39" t="str">
        <x:v>57.897.276/0001-31</x:v>
      </x:c>
      <x:c r="L188" s="39" t="str">
        <x:v>216-01</x:v>
      </x:c>
      <x:c r="M188" s="39" t="str">
        <x:v>1</x:v>
      </x:c>
      <x:c r="N188" s="38" t="n">
        <x:v>46183</x:v>
      </x:c>
      <x:c r="O188" s="40" t="n">
        <x:v>1736.52</x:v>
      </x:c>
      <x:c r="P188" s="22" t="str">
        <x:v>Cobrança realizada</x:v>
      </x:c>
      <x:c r="Q188" s="22" t="str">
        <x:v>Cobrança: e-mail - 24/08</x:v>
      </x:c>
    </x:row>
    <x:row r="189">
      <x:c r="A189" s="22" t="str">
        <x:v>Dani</x:v>
      </x:c>
      <x:c r="B189" s="22" t="n">
        <x:v>18</x:v>
      </x:c>
      <x:c r="C189" s="38" t="n">
        <x:v>46247</x:v>
      </x:c>
      <x:c r="D189" s="22" t="str">
        <x:v>Verti</x:v>
      </x:c>
      <x:c r="E189" s="22" t="n">
        <x:v>2</x:v>
      </x:c>
      <x:c r="F189" s="22" t="n">
        <x:v>670</x:v>
      </x:c>
      <x:c r="G189" s="22" t="str">
        <x:v>CONDOMÍNIO VERDANA JARDIM PRUDÊNCIA – SETOR RESIDENCIAL</x:v>
      </x:c>
      <x:c r="H189" s="22" t="str">
        <x:v>VERDANA JARDIM PRUDENCIA SETOR RESIDENCIAL</x:v>
      </x:c>
      <x:c r="I189" s="22" t="str">
        <x:v>Confirmado</x:v>
      </x:c>
      <x:c r="J189" s="22" t="str">
        <x:v>ativo</x:v>
      </x:c>
      <x:c r="K189" s="39" t="str">
        <x:v>57.897.276/0001-31</x:v>
      </x:c>
      <x:c r="L189" s="39" t="str">
        <x:v>221-01</x:v>
      </x:c>
      <x:c r="M189" s="39" t="str">
        <x:v>1</x:v>
      </x:c>
      <x:c r="N189" s="38" t="n">
        <x:v>46213</x:v>
      </x:c>
      <x:c r="O189" s="40" t="n">
        <x:v>1725.27</x:v>
      </x:c>
      <x:c r="P189" s="22" t="str">
        <x:v>Cobrança realizada</x:v>
      </x:c>
      <x:c r="Q189" s="22" t="str">
        <x:v>Cobrança: 11 97629-4344 e e-mail - 24/08</x:v>
      </x:c>
    </x:row>
    <x:row r="190">
      <x:c r="A190" s="22" t="str">
        <x:v>Dani</x:v>
      </x:c>
      <x:c r="B190" s="22" t="n">
        <x:v>20</x:v>
      </x:c>
      <x:c r="C190" s="38" t="n">
        <x:v>46247</x:v>
      </x:c>
      <x:c r="D190" s="22" t="str">
        <x:v>Verti</x:v>
      </x:c>
      <x:c r="E190" s="22" t="n">
        <x:v>2</x:v>
      </x:c>
      <x:c r="F190" s="22" t="n">
        <x:v>670</x:v>
      </x:c>
      <x:c r="G190" s="22" t="str">
        <x:v>CONDOMÍNIO VERDANA JARDIM PRUDÊNCIA – SETOR RESIDENCIAL</x:v>
      </x:c>
      <x:c r="H190" s="22" t="str">
        <x:v>VERDANA JARDIM PRUDENCIA SETOR RESIDENCIAL</x:v>
      </x:c>
      <x:c r="I190" s="22" t="str">
        <x:v>Confirmado</x:v>
      </x:c>
      <x:c r="J190" s="22" t="str">
        <x:v>ativo</x:v>
      </x:c>
      <x:c r="K190" s="39" t="str">
        <x:v>57.897.276/0001-31</x:v>
      </x:c>
      <x:c r="L190" s="39" t="str">
        <x:v>25-02</x:v>
      </x:c>
      <x:c r="M190" s="39" t="str">
        <x:v>2</x:v>
      </x:c>
      <x:c r="N190" s="38" t="n">
        <x:v>46213</x:v>
      </x:c>
      <x:c r="O190" s="40" t="n">
        <x:v>1229.51</x:v>
      </x:c>
      <x:c r="P190" s="22" t="str">
        <x:v>Cobrança realizada</x:v>
      </x:c>
      <x:c r="Q190" s="22" t="str">
        <x:v>Cobrança: 11 95106-4557 e e-mail - 24/08</x:v>
      </x:c>
    </x:row>
    <x:row r="191">
      <x:c r="A191" s="22" t="str">
        <x:v>Dani</x:v>
      </x:c>
      <x:c r="B191" s="22" t="n">
        <x:v>21</x:v>
      </x:c>
      <x:c r="C191" s="38" t="n">
        <x:v>46247</x:v>
      </x:c>
      <x:c r="D191" s="22" t="str">
        <x:v>Verti</x:v>
      </x:c>
      <x:c r="E191" s="22" t="n">
        <x:v>2</x:v>
      </x:c>
      <x:c r="F191" s="22" t="n">
        <x:v>670</x:v>
      </x:c>
      <x:c r="G191" s="22" t="str">
        <x:v>CONDOMÍNIO VERDANA JARDIM PRUDÊNCIA – SETOR RESIDENCIAL</x:v>
      </x:c>
      <x:c r="H191" s="22" t="str">
        <x:v>VERDANA JARDIM PRUDENCIA SETOR RESIDENCIAL</x:v>
      </x:c>
      <x:c r="I191" s="22" t="str">
        <x:v>Confirmado</x:v>
      </x:c>
      <x:c r="J191" s="22" t="str">
        <x:v>ativo</x:v>
      </x:c>
      <x:c r="K191" s="39" t="str">
        <x:v>57.897.276/0001-31</x:v>
      </x:c>
      <x:c r="L191" s="39" t="str">
        <x:v>33-02</x:v>
      </x:c>
      <x:c r="M191" s="39" t="str">
        <x:v>2</x:v>
      </x:c>
      <x:c r="N191" s="38" t="n">
        <x:v>46213</x:v>
      </x:c>
      <x:c r="O191" s="40" t="n">
        <x:v>1339.06</x:v>
      </x:c>
      <x:c r="P191" s="22" t="str">
        <x:v>Cobrança realizada</x:v>
      </x:c>
      <x:c r="Q191" s="22" t="str">
        <x:v>Cobrança:  11 97033-1614 e e-mail - 24/08</x:v>
      </x:c>
    </x:row>
    <x:row r="192">
      <x:c r="A192" s="22" t="str">
        <x:v>Dani</x:v>
      </x:c>
      <x:c r="B192" s="22" t="n">
        <x:v>22</x:v>
      </x:c>
      <x:c r="C192" s="38" t="n">
        <x:v>46247</x:v>
      </x:c>
      <x:c r="D192" s="22" t="str">
        <x:v>Verti</x:v>
      </x:c>
      <x:c r="E192" s="22" t="n">
        <x:v>2</x:v>
      </x:c>
      <x:c r="F192" s="22" t="n">
        <x:v>670</x:v>
      </x:c>
      <x:c r="G192" s="22" t="str">
        <x:v>CONDOMÍNIO VERDANA JARDIM PRUDÊNCIA – SETOR RESIDENCIAL</x:v>
      </x:c>
      <x:c r="H192" s="22" t="str">
        <x:v>VERDANA JARDIM PRUDENCIA SETOR RESIDENCIAL</x:v>
      </x:c>
      <x:c r="I192" s="22" t="str">
        <x:v>Confirmado</x:v>
      </x:c>
      <x:c r="J192" s="22" t="str">
        <x:v>ativo</x:v>
      </x:c>
      <x:c r="K192" s="39" t="str">
        <x:v>57.897.276/0001-31</x:v>
      </x:c>
      <x:c r="L192" s="39" t="str">
        <x:v>154-02</x:v>
      </x:c>
      <x:c r="M192" s="39" t="str">
        <x:v>2</x:v>
      </x:c>
      <x:c r="N192" s="38" t="n">
        <x:v>46213</x:v>
      </x:c>
      <x:c r="O192" s="40" t="n">
        <x:v>1426.21</x:v>
      </x:c>
      <x:c r="P192" s="22" t="str">
        <x:v>Cobrança realizada</x:v>
      </x:c>
      <x:c r="Q192" s="22" t="str">
        <x:v>Cobrança:  11 95405-9992 e e-mail - 24/08</x:v>
      </x:c>
    </x:row>
    <x:row r="193">
      <x:c r="A193" s="22" t="str">
        <x:v>Dani</x:v>
      </x:c>
      <x:c r="B193" s="22" t="n">
        <x:v>23</x:v>
      </x:c>
      <x:c r="C193" s="38" t="n">
        <x:v>46247</x:v>
      </x:c>
      <x:c r="D193" s="22" t="str">
        <x:v>Verti</x:v>
      </x:c>
      <x:c r="E193" s="22" t="n">
        <x:v>2</x:v>
      </x:c>
      <x:c r="F193" s="22" t="n">
        <x:v>670</x:v>
      </x:c>
      <x:c r="G193" s="22" t="str">
        <x:v>CONDOMÍNIO VERDANA JARDIM PRUDÊNCIA – SETOR RESIDENCIAL</x:v>
      </x:c>
      <x:c r="H193" s="22" t="str">
        <x:v>VERDANA JARDIM PRUDENCIA SETOR RESIDENCIAL</x:v>
      </x:c>
      <x:c r="I193" s="22" t="str">
        <x:v>Confirmado</x:v>
      </x:c>
      <x:c r="J193" s="22" t="str">
        <x:v>ativo</x:v>
      </x:c>
      <x:c r="K193" s="39" t="str">
        <x:v>57.897.276/0001-31</x:v>
      </x:c>
      <x:c r="L193" s="39" t="str">
        <x:v>164-02</x:v>
      </x:c>
      <x:c r="M193" s="39" t="str">
        <x:v>2</x:v>
      </x:c>
      <x:c r="N193" s="38" t="n">
        <x:v>46183</x:v>
      </x:c>
      <x:c r="O193" s="40" t="n">
        <x:v>1430.76</x:v>
      </x:c>
      <x:c r="P193" s="22" t="str">
        <x:v>Cobrança realizada</x:v>
      </x:c>
      <x:c r="Q193" s="22" t="str">
        <x:v>Cobrança:  11 99494-0610  e e-mail - 24/08</x:v>
      </x:c>
    </x:row>
    <x:row r="194">
      <x:c r="A194" s="22" t="str">
        <x:v>Dani</x:v>
      </x:c>
      <x:c r="B194" s="22" t="n">
        <x:v>24</x:v>
      </x:c>
      <x:c r="C194" s="38" t="n">
        <x:v>46247</x:v>
      </x:c>
      <x:c r="D194" s="22" t="str">
        <x:v>Verti</x:v>
      </x:c>
      <x:c r="E194" s="22" t="n">
        <x:v>2</x:v>
      </x:c>
      <x:c r="F194" s="22" t="n">
        <x:v>670</x:v>
      </x:c>
      <x:c r="G194" s="22" t="str">
        <x:v>CONDOMÍNIO VERDANA JARDIM PRUDÊNCIA – SETOR RESIDENCIAL</x:v>
      </x:c>
      <x:c r="H194" s="22" t="str">
        <x:v>VERDANA JARDIM PRUDENCIA SETOR RESIDENCIAL</x:v>
      </x:c>
      <x:c r="I194" s="22" t="str">
        <x:v>Confirmado</x:v>
      </x:c>
      <x:c r="J194" s="22" t="str">
        <x:v>ativo</x:v>
      </x:c>
      <x:c r="K194" s="39" t="str">
        <x:v>57.897.276/0001-31</x:v>
      </x:c>
      <x:c r="L194" s="39" t="str">
        <x:v>222-02</x:v>
      </x:c>
      <x:c r="M194" s="39" t="str">
        <x:v>2</x:v>
      </x:c>
      <x:c r="N194" s="38" t="n">
        <x:v>46213</x:v>
      </x:c>
      <x:c r="O194" s="40" t="n">
        <x:v>1154.63</x:v>
      </x:c>
      <x:c r="P194" s="22" t="str">
        <x:v>Cobrança realizada</x:v>
      </x:c>
      <x:c r="Q194" s="22" t="str">
        <x:v>Cobrança:  11 99832-0313 e e-mail - 24/08</x:v>
      </x:c>
    </x:row>
    <x:row r="195">
      <x:c r="A195" s="22" t="str">
        <x:v>Dani</x:v>
      </x:c>
      <x:c r="B195" s="22" t="n">
        <x:v>25</x:v>
      </x:c>
      <x:c r="C195" s="38" t="n">
        <x:v>46247</x:v>
      </x:c>
      <x:c r="D195" s="22" t="str">
        <x:v>Verti</x:v>
      </x:c>
      <x:c r="E195" s="22" t="n">
        <x:v>2</x:v>
      </x:c>
      <x:c r="F195" s="22" t="n">
        <x:v>671</x:v>
      </x:c>
      <x:c r="G195" s="22" t="str">
        <x:v>CONDOMÍNIO VERDANA JARDIM PRUDÊNCIA – SETOR STUDIOS</x:v>
      </x:c>
      <x:c r="H195" s="22" t="str">
        <x:v>VERDANA SUITES JARDIM PRUDENCIA SETOR MORADIA TORRE 3</x:v>
      </x:c>
      <x:c r="I195" s="22" t="str">
        <x:v>Confirmado</x:v>
      </x:c>
      <x:c r="J195" s="22" t="str">
        <x:v>ativo</x:v>
      </x:c>
      <x:c r="K195" s="39" t="str">
        <x:v>57.897.276/0004-84</x:v>
      </x:c>
      <x:c r="L195" s="39" t="str">
        <x:v>201</x:v>
      </x:c>
      <x:c r="M195" s="39" t="str">
        <x:v>0</x:v>
      </x:c>
      <x:c r="N195" s="38" t="n">
        <x:v>46183</x:v>
      </x:c>
      <x:c r="O195" s="40" t="n">
        <x:v>610.21</x:v>
      </x:c>
      <x:c r="P195" s="22" t="str">
        <x:v>Sem andamento registrado</x:v>
      </x:c>
      <x:c r="Q195" s="22" t="str"/>
    </x:row>
    <x:row r="196">
      <x:c r="A196" s="22" t="str">
        <x:v>Dani</x:v>
      </x:c>
      <x:c r="B196" s="22" t="n">
        <x:v>26</x:v>
      </x:c>
      <x:c r="C196" s="38" t="n">
        <x:v>46247</x:v>
      </x:c>
      <x:c r="D196" s="22" t="str">
        <x:v>Verti</x:v>
      </x:c>
      <x:c r="E196" s="22" t="n">
        <x:v>2</x:v>
      </x:c>
      <x:c r="F196" s="22" t="n">
        <x:v>671</x:v>
      </x:c>
      <x:c r="G196" s="22" t="str">
        <x:v>CONDOMÍNIO VERDANA JARDIM PRUDÊNCIA – SETOR STUDIOS</x:v>
      </x:c>
      <x:c r="H196" s="22" t="str">
        <x:v>VERDANA SUITES JARDIM PRUDENCIA SETOR MORADIA TORRE 3</x:v>
      </x:c>
      <x:c r="I196" s="22" t="str">
        <x:v>Confirmado</x:v>
      </x:c>
      <x:c r="J196" s="22" t="str">
        <x:v>ativo</x:v>
      </x:c>
      <x:c r="K196" s="39" t="str">
        <x:v>57.897.276/0004-84</x:v>
      </x:c>
      <x:c r="L196" s="39" t="str">
        <x:v>211</x:v>
      </x:c>
      <x:c r="M196" s="39" t="str">
        <x:v>0</x:v>
      </x:c>
      <x:c r="N196" s="38" t="n">
        <x:v>46183</x:v>
      </x:c>
      <x:c r="O196" s="40" t="n">
        <x:v>594.89</x:v>
      </x:c>
      <x:c r="P196" s="22" t="str">
        <x:v>Sem andamento registrado</x:v>
      </x:c>
      <x:c r="Q196" s="22" t="str"/>
    </x:row>
    <x:row r="197">
      <x:c r="A197" s="22" t="str">
        <x:v>Dani</x:v>
      </x:c>
      <x:c r="B197" s="22" t="n">
        <x:v>27</x:v>
      </x:c>
      <x:c r="C197" s="38" t="n">
        <x:v>46247</x:v>
      </x:c>
      <x:c r="D197" s="22" t="str">
        <x:v>Verti</x:v>
      </x:c>
      <x:c r="E197" s="22" t="n">
        <x:v>2</x:v>
      </x:c>
      <x:c r="F197" s="22" t="n">
        <x:v>671</x:v>
      </x:c>
      <x:c r="G197" s="22" t="str">
        <x:v>CONDOMÍNIO VERDANA JARDIM PRUDÊNCIA – SETOR STUDIOS</x:v>
      </x:c>
      <x:c r="H197" s="22" t="str">
        <x:v>VERDANA SUITES JARDIM PRUDENCIA SETOR MORADIA TORRE 3</x:v>
      </x:c>
      <x:c r="I197" s="22" t="str">
        <x:v>Confirmado</x:v>
      </x:c>
      <x:c r="J197" s="22" t="str">
        <x:v>ativo</x:v>
      </x:c>
      <x:c r="K197" s="39" t="str">
        <x:v>57.897.276/0004-84</x:v>
      </x:c>
      <x:c r="L197" s="39" t="str">
        <x:v>410</x:v>
      </x:c>
      <x:c r="M197" s="39" t="str">
        <x:v>0</x:v>
      </x:c>
      <x:c r="N197" s="38" t="n">
        <x:v>46183</x:v>
      </x:c>
      <x:c r="O197" s="40" t="n">
        <x:v>594.89</x:v>
      </x:c>
      <x:c r="P197" s="22" t="str">
        <x:v>Sem andamento registrado</x:v>
      </x:c>
      <x:c r="Q197" s="22" t="str"/>
    </x:row>
    <x:row r="198">
      <x:c r="A198" s="22" t="str">
        <x:v>Dani</x:v>
      </x:c>
      <x:c r="B198" s="22" t="n">
        <x:v>28</x:v>
      </x:c>
      <x:c r="C198" s="38" t="n">
        <x:v>46247</x:v>
      </x:c>
      <x:c r="D198" s="22" t="str">
        <x:v>Verti</x:v>
      </x:c>
      <x:c r="E198" s="22" t="n">
        <x:v>2</x:v>
      </x:c>
      <x:c r="F198" s="22" t="n">
        <x:v>671</x:v>
      </x:c>
      <x:c r="G198" s="22" t="str">
        <x:v>CONDOMÍNIO VERDANA JARDIM PRUDÊNCIA – SETOR STUDIOS</x:v>
      </x:c>
      <x:c r="H198" s="22" t="str">
        <x:v>VERDANA SUITES JARDIM PRUDENCIA SETOR MORADIA TORRE 3</x:v>
      </x:c>
      <x:c r="I198" s="22" t="str">
        <x:v>Confirmado</x:v>
      </x:c>
      <x:c r="J198" s="22" t="str">
        <x:v>ativo</x:v>
      </x:c>
      <x:c r="K198" s="39" t="str">
        <x:v>57.897.276/0004-84</x:v>
      </x:c>
      <x:c r="L198" s="39" t="str">
        <x:v>1011</x:v>
      </x:c>
      <x:c r="M198" s="39" t="str">
        <x:v>0</x:v>
      </x:c>
      <x:c r="N198" s="38" t="n">
        <x:v>46183</x:v>
      </x:c>
      <x:c r="O198" s="40" t="n">
        <x:v>797.67</x:v>
      </x:c>
      <x:c r="P198" s="22" t="str">
        <x:v>Com acordo</x:v>
      </x:c>
      <x:c r="Q198" s="22" t="str">
        <x:v>felipeprates.to18@gmail.com | Acordo com venc 13/08</x:v>
      </x:c>
    </x:row>
    <x:row r="199">
      <x:c r="A199" s="22" t="str">
        <x:v>Dani</x:v>
      </x:c>
      <x:c r="B199" s="22" t="n">
        <x:v>29</x:v>
      </x:c>
      <x:c r="C199" s="38" t="n">
        <x:v>46225</x:v>
      </x:c>
      <x:c r="D199" s="22" t="str">
        <x:v>GRAICHE</x:v>
      </x:c>
      <x:c r="E199" s="22" t="str">
        <x:v>MANUAL</x:v>
      </x:c>
      <x:c r="F199" s="22" t="n">
        <x:v>499</x:v>
      </x:c>
      <x:c r="G199" s="22" t="str">
        <x:v>CONDOMINO LAS VENTANAS</x:v>
      </x:c>
      <x:c r="H199" s="22" t="str">
        <x:v>CONDOMÍNIO LAS VENTANAS</x:v>
      </x:c>
      <x:c r="I199" s="22" t="str">
        <x:v>Provável</x:v>
      </x:c>
      <x:c r="J199" s="22" t="str">
        <x:v>ativo</x:v>
      </x:c>
      <x:c r="K199" s="39" t="str">
        <x:v>22.246.106/0001-02</x:v>
      </x:c>
      <x:c r="L199" s="39" t="str">
        <x:v>184</x:v>
      </x:c>
      <x:c r="M199" s="39" t="str">
        <x:v>1</x:v>
      </x:c>
      <x:c r="N199" s="38" t="n">
        <x:v>46152</x:v>
      </x:c>
      <x:c r="O199" s="40" t="n">
        <x:v>2033.06</x:v>
      </x:c>
      <x:c r="P199" s="22" t="str">
        <x:v>Cobrança realizada</x:v>
      </x:c>
      <x:c r="Q199" s="22" t="str">
        <x:v>Cobrança: 11 99276-1322 e e-mail - 24/07 | Cobrança: 11 99276-1322 e e-mail - 10/08</x:v>
      </x:c>
    </x:row>
    <x:row r="200">
      <x:c r="A200" s="22" t="str">
        <x:v>Dani</x:v>
      </x:c>
      <x:c r="B200" s="22" t="n">
        <x:v>30</x:v>
      </x:c>
      <x:c r="C200" s="38" t="n">
        <x:v>46247</x:v>
      </x:c>
      <x:c r="D200" s="22" t="str">
        <x:v>Lello</x:v>
      </x:c>
      <x:c r="E200" s="22" t="n">
        <x:v>2</x:v>
      </x:c>
      <x:c r="F200" s="22" t="n">
        <x:v>8334</x:v>
      </x:c>
      <x:c r="G200" s="22" t="str">
        <x:v>HARMONIA MORUMBI RESIDENCE</x:v>
      </x:c>
      <x:c r="H200" s="22" t="str">
        <x:v>HARMONIA MORUMBI RESIDENCE</x:v>
      </x:c>
      <x:c r="I200" s="22" t="str">
        <x:v>Confirmado</x:v>
      </x:c>
      <x:c r="J200" s="22" t="str">
        <x:v>ativo</x:v>
      </x:c>
      <x:c r="K200" s="39" t="str">
        <x:v>29.910.260/0001-86</x:v>
      </x:c>
      <x:c r="L200" s="39" t="str">
        <x:v>42-01</x:v>
      </x:c>
      <x:c r="M200" s="39" t="str">
        <x:v>1</x:v>
      </x:c>
      <x:c r="N200" s="38" t="n">
        <x:v>46183</x:v>
      </x:c>
      <x:c r="O200" s="40" t="n">
        <x:v>878.34</x:v>
      </x:c>
      <x:c r="P200" s="22" t="str">
        <x:v>Cobrança realizada</x:v>
      </x:c>
      <x:c r="Q200" s="22" t="str">
        <x:v>Cobrança: 11 95816-1550 e e-mail - 24/08</x:v>
      </x:c>
    </x:row>
    <x:row r="201">
      <x:c r="A201" s="22" t="str">
        <x:v>Dani</x:v>
      </x:c>
      <x:c r="B201" s="22" t="n">
        <x:v>31</x:v>
      </x:c>
      <x:c r="C201" s="38" t="n">
        <x:v>46247</x:v>
      </x:c>
      <x:c r="D201" s="22" t="str">
        <x:v>Lello</x:v>
      </x:c>
      <x:c r="E201" s="22" t="n">
        <x:v>2</x:v>
      </x:c>
      <x:c r="F201" s="22" t="n">
        <x:v>8334</x:v>
      </x:c>
      <x:c r="G201" s="22" t="str">
        <x:v>HARMONIA MORUMBI RESIDENCE</x:v>
      </x:c>
      <x:c r="H201" s="22" t="str">
        <x:v>HARMONIA MORUMBI RESIDENCE</x:v>
      </x:c>
      <x:c r="I201" s="22" t="str">
        <x:v>Confirmado</x:v>
      </x:c>
      <x:c r="J201" s="22" t="str">
        <x:v>ativo</x:v>
      </x:c>
      <x:c r="K201" s="39" t="str">
        <x:v>29.910.260/0001-86</x:v>
      </x:c>
      <x:c r="L201" s="39" t="str">
        <x:v>138-01</x:v>
      </x:c>
      <x:c r="M201" s="39" t="str">
        <x:v>1</x:v>
      </x:c>
      <x:c r="N201" s="38" t="n">
        <x:v>46183</x:v>
      </x:c>
      <x:c r="O201" s="40" t="n">
        <x:v>935.23</x:v>
      </x:c>
      <x:c r="P201" s="22" t="str">
        <x:v>Cobrança realizada</x:v>
      </x:c>
      <x:c r="Q201" s="22" t="str">
        <x:v>Cobrança: 11 98201-1046 e e-mail - 24/08</x:v>
      </x:c>
    </x:row>
    <x:row r="202">
      <x:c r="A202" s="22" t="str">
        <x:v>Dani</x:v>
      </x:c>
      <x:c r="B202" s="22" t="n">
        <x:v>32</x:v>
      </x:c>
      <x:c r="C202" s="38" t="n">
        <x:v>46247</x:v>
      </x:c>
      <x:c r="D202" s="22" t="str">
        <x:v>Lello</x:v>
      </x:c>
      <x:c r="E202" s="22" t="n">
        <x:v>2</x:v>
      </x:c>
      <x:c r="F202" s="22" t="n">
        <x:v>8334</x:v>
      </x:c>
      <x:c r="G202" s="22" t="str">
        <x:v>HARMONIA MORUMBI RESIDENCE</x:v>
      </x:c>
      <x:c r="H202" s="22" t="str">
        <x:v>HARMONIA MORUMBI RESIDENCE</x:v>
      </x:c>
      <x:c r="I202" s="22" t="str">
        <x:v>Confirmado</x:v>
      </x:c>
      <x:c r="J202" s="22" t="str">
        <x:v>ativo</x:v>
      </x:c>
      <x:c r="K202" s="39" t="str">
        <x:v>29.910.260/0001-86</x:v>
      </x:c>
      <x:c r="L202" s="39" t="str">
        <x:v>132-01</x:v>
      </x:c>
      <x:c r="M202" s="39" t="str">
        <x:v>1</x:v>
      </x:c>
      <x:c r="N202" s="38" t="n">
        <x:v>46122</x:v>
      </x:c>
      <x:c r="O202" s="40" t="n">
        <x:v>433.59</x:v>
      </x:c>
      <x:c r="P202" s="22" t="str">
        <x:v>Cobrança realizada</x:v>
      </x:c>
      <x:c r="Q202" s="22" t="str">
        <x:v>Cobrança: 11 96922-2392 e e-mail - 24/08</x:v>
      </x:c>
    </x:row>
    <x:row r="203">
      <x:c r="A203" s="22" t="str">
        <x:v>Dani</x:v>
      </x:c>
      <x:c r="B203" s="22" t="n">
        <x:v>33</x:v>
      </x:c>
      <x:c r="C203" s="38" t="n">
        <x:v>46247</x:v>
      </x:c>
      <x:c r="D203" s="22" t="str">
        <x:v>Atipass</x:v>
      </x:c>
      <x:c r="E203" s="22" t="n">
        <x:v>2</x:v>
      </x:c>
      <x:c r="F203" s="22" t="n">
        <x:v>262</x:v>
      </x:c>
      <x:c r="G203" s="22" t="str">
        <x:v>RESIDENCIAL DAS ILHAS</x:v>
      </x:c>
      <x:c r="H203" s="22" t="str">
        <x:v>RESIDENCIAL DAS ILHAS</x:v>
      </x:c>
      <x:c r="I203" s="22" t="str">
        <x:v>Confirmado</x:v>
      </x:c>
      <x:c r="J203" s="22" t="str">
        <x:v>ativo</x:v>
      </x:c>
      <x:c r="K203" s="39" t="str">
        <x:v>08.769.535/0001-33</x:v>
      </x:c>
      <x:c r="L203" s="39" t="str">
        <x:v>13-01</x:v>
      </x:c>
      <x:c r="M203" s="39" t="str">
        <x:v>1</x:v>
      </x:c>
      <x:c r="N203" s="38" t="n">
        <x:v>46183</x:v>
      </x:c>
      <x:c r="O203" s="40" t="n">
        <x:v>615.15</x:v>
      </x:c>
      <x:c r="P203" s="22" t="str">
        <x:v>Com acordo</x:v>
      </x:c>
      <x:c r="Q203" s="22" t="str">
        <x:v>Acordo administrativo com vencimento para o dia 20 | Cobrança: 11 96882-3181 e e-mail - 24/08</x:v>
      </x:c>
    </x:row>
    <x:row r="204">
      <x:c r="A204" s="22" t="str">
        <x:v>Dani</x:v>
      </x:c>
      <x:c r="B204" s="22" t="n">
        <x:v>34</x:v>
      </x:c>
      <x:c r="C204" s="38" t="n">
        <x:v>46247</x:v>
      </x:c>
      <x:c r="D204" s="22" t="str">
        <x:v>Atipass</x:v>
      </x:c>
      <x:c r="E204" s="22" t="n">
        <x:v>2</x:v>
      </x:c>
      <x:c r="F204" s="22" t="n">
        <x:v>262</x:v>
      </x:c>
      <x:c r="G204" s="22" t="str">
        <x:v>RESIDENCIAL DAS ILHAS</x:v>
      </x:c>
      <x:c r="H204" s="22" t="str">
        <x:v>RESIDENCIAL DAS ILHAS</x:v>
      </x:c>
      <x:c r="I204" s="22" t="str">
        <x:v>Confirmado</x:v>
      </x:c>
      <x:c r="J204" s="22" t="str">
        <x:v>ativo</x:v>
      </x:c>
      <x:c r="K204" s="39" t="str">
        <x:v>08.769.535/0001-33</x:v>
      </x:c>
      <x:c r="L204" s="39" t="str">
        <x:v>01-02</x:v>
      </x:c>
      <x:c r="M204" s="39" t="str">
        <x:v>2</x:v>
      </x:c>
      <x:c r="N204" s="38" t="str">
        <x:v>10/03/2026 e 10/06/2026</x:v>
      </x:c>
      <x:c r="O204" s="40" t="n">
        <x:v>1548.66</x:v>
      </x:c>
      <x:c r="P204" s="22" t="str">
        <x:v>Cobrança realizada</x:v>
      </x:c>
      <x:c r="Q204" s="22" t="str">
        <x:v>Cobrança: 11 98415-4474 e e-mail - 24/08</x:v>
      </x:c>
    </x:row>
    <x:row r="205">
      <x:c r="A205" s="22" t="str">
        <x:v>Dani</x:v>
      </x:c>
      <x:c r="B205" s="22" t="n">
        <x:v>35</x:v>
      </x:c>
      <x:c r="C205" s="38" t="n">
        <x:v>46247</x:v>
      </x:c>
      <x:c r="D205" s="22" t="str">
        <x:v>Atipass</x:v>
      </x:c>
      <x:c r="E205" s="22" t="n">
        <x:v>2</x:v>
      </x:c>
      <x:c r="F205" s="22" t="n">
        <x:v>262</x:v>
      </x:c>
      <x:c r="G205" s="22" t="str">
        <x:v>RESIDENCIAL DAS ILHAS</x:v>
      </x:c>
      <x:c r="H205" s="22" t="str">
        <x:v>RESIDENCIAL DAS ILHAS</x:v>
      </x:c>
      <x:c r="I205" s="22" t="str">
        <x:v>Confirmado</x:v>
      </x:c>
      <x:c r="J205" s="22" t="str">
        <x:v>ativo</x:v>
      </x:c>
      <x:c r="K205" s="39" t="str">
        <x:v>08.769.535/0001-33</x:v>
      </x:c>
      <x:c r="L205" s="39" t="str">
        <x:v>24-04</x:v>
      </x:c>
      <x:c r="M205" s="39" t="str">
        <x:v>4</x:v>
      </x:c>
      <x:c r="N205" s="38" t="n">
        <x:v>46183</x:v>
      </x:c>
      <x:c r="O205" s="40" t="n">
        <x:v>762.94</x:v>
      </x:c>
      <x:c r="P205" s="22" t="str">
        <x:v>Cobrança realizada</x:v>
      </x:c>
      <x:c r="Q205" s="22" t="str">
        <x:v>pattymarsoncorazza@gmail.com - cobrança cancelada solicitação Edi | Não cobrar | Cobrança cancelada</x:v>
      </x:c>
    </x:row>
    <x:row r="206">
      <x:c r="A206" s="22" t="str">
        <x:v>Dani</x:v>
      </x:c>
      <x:c r="B206" s="22" t="n">
        <x:v>36</x:v>
      </x:c>
      <x:c r="C206" s="38" t="n">
        <x:v>46247</x:v>
      </x:c>
      <x:c r="D206" s="22" t="str">
        <x:v>Lello</x:v>
      </x:c>
      <x:c r="E206" s="22" t="n">
        <x:v>2</x:v>
      </x:c>
      <x:c r="F206" s="22" t="n">
        <x:v>62905</x:v>
      </x:c>
      <x:c r="G206" s="22" t="str">
        <x:v>COND. CO.NEXT LIBERDADE</x:v>
      </x:c>
      <x:c r="H206" s="22" t="str">
        <x:v>CONDOMÍNIO CO.NEXT LIBERDADE</x:v>
      </x:c>
      <x:c r="I206" s="22" t="str">
        <x:v>Confirmado</x:v>
      </x:c>
      <x:c r="J206" s="22" t="str">
        <x:v>ativo</x:v>
      </x:c>
      <x:c r="K206" s="39" t="str">
        <x:v>55.597.288/0001-15</x:v>
      </x:c>
      <x:c r="L206" s="39" t="str">
        <x:v>0LOJA3</x:v>
      </x:c>
      <x:c r="M206" s="39" t="str">
        <x:v>0</x:v>
      </x:c>
      <x:c r="N206" s="38" t="n">
        <x:v>46213</x:v>
      </x:c>
      <x:c r="O206" s="40" t="n">
        <x:v>225.23</x:v>
      </x:c>
      <x:c r="P206" s="22" t="str">
        <x:v>Sem andamento registrado</x:v>
      </x:c>
      <x:c r="Q206" s="22" t="str"/>
    </x:row>
    <x:row r="207">
      <x:c r="A207" s="22" t="str">
        <x:v>Dani</x:v>
      </x:c>
      <x:c r="B207" s="22" t="n">
        <x:v>37</x:v>
      </x:c>
      <x:c r="C207" s="38" t="n">
        <x:v>46247</x:v>
      </x:c>
      <x:c r="D207" s="22" t="str">
        <x:v>Lello</x:v>
      </x:c>
      <x:c r="E207" s="22" t="n">
        <x:v>2</x:v>
      </x:c>
      <x:c r="F207" s="22" t="n">
        <x:v>62905</x:v>
      </x:c>
      <x:c r="G207" s="22" t="str">
        <x:v>COND. CO.NEXT LIBERDADE</x:v>
      </x:c>
      <x:c r="H207" s="22" t="str">
        <x:v>CONDOMÍNIO CO.NEXT LIBERDADE</x:v>
      </x:c>
      <x:c r="I207" s="22" t="str">
        <x:v>Confirmado</x:v>
      </x:c>
      <x:c r="J207" s="22" t="str">
        <x:v>ativo</x:v>
      </x:c>
      <x:c r="K207" s="39" t="str">
        <x:v>55.597.288/0001-15</x:v>
      </x:c>
      <x:c r="L207" s="39" t="str">
        <x:v>0LOJA4</x:v>
      </x:c>
      <x:c r="M207" s="39" t="str">
        <x:v>0</x:v>
      </x:c>
      <x:c r="N207" s="38" t="n">
        <x:v>46213</x:v>
      </x:c>
      <x:c r="O207" s="40" t="n">
        <x:v>229.71</x:v>
      </x:c>
      <x:c r="P207" s="22" t="str">
        <x:v>Sem andamento registrado</x:v>
      </x:c>
      <x:c r="Q207" s="22" t="str"/>
    </x:row>
    <x:row r="208">
      <x:c r="A208" s="22" t="str">
        <x:v>Dani</x:v>
      </x:c>
      <x:c r="B208" s="22" t="n">
        <x:v>38</x:v>
      </x:c>
      <x:c r="C208" s="38" t="n">
        <x:v>46247</x:v>
      </x:c>
      <x:c r="D208" s="22" t="str">
        <x:v>Lello</x:v>
      </x:c>
      <x:c r="E208" s="22" t="n">
        <x:v>2</x:v>
      </x:c>
      <x:c r="F208" s="22" t="n">
        <x:v>62905</x:v>
      </x:c>
      <x:c r="G208" s="22" t="str">
        <x:v>COND. CO.NEXT LIBERDADE</x:v>
      </x:c>
      <x:c r="H208" s="22" t="str">
        <x:v>CONDOMÍNIO CO.NEXT LIBERDADE</x:v>
      </x:c>
      <x:c r="I208" s="22" t="str">
        <x:v>Confirmado</x:v>
      </x:c>
      <x:c r="J208" s="22" t="str">
        <x:v>ativo</x:v>
      </x:c>
      <x:c r="K208" s="39" t="str">
        <x:v>55.597.288/0001-15</x:v>
      </x:c>
      <x:c r="L208" s="39" t="str">
        <x:v>0R0201</x:v>
      </x:c>
      <x:c r="M208" s="39" t="str">
        <x:v>0</x:v>
      </x:c>
      <x:c r="N208" s="38" t="n">
        <x:v>46213</x:v>
      </x:c>
      <x:c r="O208" s="40" t="n">
        <x:v>456.84</x:v>
      </x:c>
      <x:c r="P208" s="22" t="str">
        <x:v>Sem andamento registrado</x:v>
      </x:c>
      <x:c r="Q208" s="22" t="str"/>
    </x:row>
    <x:row r="209">
      <x:c r="A209" s="22" t="str">
        <x:v>Dani</x:v>
      </x:c>
      <x:c r="B209" s="22" t="n">
        <x:v>39</x:v>
      </x:c>
      <x:c r="C209" s="38" t="n">
        <x:v>46247</x:v>
      </x:c>
      <x:c r="D209" s="22" t="str">
        <x:v>Lello</x:v>
      </x:c>
      <x:c r="E209" s="22" t="n">
        <x:v>2</x:v>
      </x:c>
      <x:c r="F209" s="22" t="n">
        <x:v>62905</x:v>
      </x:c>
      <x:c r="G209" s="22" t="str">
        <x:v>COND. CO.NEXT LIBERDADE</x:v>
      </x:c>
      <x:c r="H209" s="22" t="str">
        <x:v>CONDOMÍNIO CO.NEXT LIBERDADE</x:v>
      </x:c>
      <x:c r="I209" s="22" t="str">
        <x:v>Confirmado</x:v>
      </x:c>
      <x:c r="J209" s="22" t="str">
        <x:v>ativo</x:v>
      </x:c>
      <x:c r="K209" s="39" t="str">
        <x:v>55.597.288/0001-15</x:v>
      </x:c>
      <x:c r="L209" s="39" t="str">
        <x:v>0R0203</x:v>
      </x:c>
      <x:c r="M209" s="39" t="str">
        <x:v>0</x:v>
      </x:c>
      <x:c r="N209" s="38" t="n">
        <x:v>46213</x:v>
      </x:c>
      <x:c r="O209" s="40" t="n">
        <x:v>442.55</x:v>
      </x:c>
      <x:c r="P209" s="22" t="str">
        <x:v>Sem andamento registrado</x:v>
      </x:c>
      <x:c r="Q209" s="22" t="str"/>
    </x:row>
    <x:row r="210">
      <x:c r="A210" s="22" t="str">
        <x:v>Dani</x:v>
      </x:c>
      <x:c r="B210" s="22" t="n">
        <x:v>40</x:v>
      </x:c>
      <x:c r="C210" s="38" t="n">
        <x:v>46247</x:v>
      </x:c>
      <x:c r="D210" s="22" t="str">
        <x:v>Lello</x:v>
      </x:c>
      <x:c r="E210" s="22" t="n">
        <x:v>2</x:v>
      </x:c>
      <x:c r="F210" s="22" t="n">
        <x:v>62905</x:v>
      </x:c>
      <x:c r="G210" s="22" t="str">
        <x:v>COND. CO.NEXT LIBERDADE</x:v>
      </x:c>
      <x:c r="H210" s="22" t="str">
        <x:v>CONDOMÍNIO CO.NEXT LIBERDADE</x:v>
      </x:c>
      <x:c r="I210" s="22" t="str">
        <x:v>Confirmado</x:v>
      </x:c>
      <x:c r="J210" s="22" t="str">
        <x:v>ativo</x:v>
      </x:c>
      <x:c r="K210" s="39" t="str">
        <x:v>55.597.288/0001-15</x:v>
      </x:c>
      <x:c r="L210" s="39" t="str">
        <x:v>0R0209</x:v>
      </x:c>
      <x:c r="M210" s="39" t="str">
        <x:v>0</x:v>
      </x:c>
      <x:c r="N210" s="38" t="n">
        <x:v>46213</x:v>
      </x:c>
      <x:c r="O210" s="40" t="n">
        <x:v>643.93</x:v>
      </x:c>
      <x:c r="P210" s="22" t="str">
        <x:v>Sem andamento registrado</x:v>
      </x:c>
      <x:c r="Q210" s="22" t="str"/>
    </x:row>
    <x:row r="211">
      <x:c r="A211" s="22" t="str">
        <x:v>Dani</x:v>
      </x:c>
      <x:c r="B211" s="22" t="n">
        <x:v>41</x:v>
      </x:c>
      <x:c r="C211" s="38" t="n">
        <x:v>46247</x:v>
      </x:c>
      <x:c r="D211" s="22" t="str">
        <x:v>Lello</x:v>
      </x:c>
      <x:c r="E211" s="22" t="n">
        <x:v>2</x:v>
      </x:c>
      <x:c r="F211" s="22" t="n">
        <x:v>62905</x:v>
      </x:c>
      <x:c r="G211" s="22" t="str">
        <x:v>COND. CO.NEXT LIBERDADE</x:v>
      </x:c>
      <x:c r="H211" s="22" t="str">
        <x:v>CONDOMÍNIO CO.NEXT LIBERDADE</x:v>
      </x:c>
      <x:c r="I211" s="22" t="str">
        <x:v>Confirmado</x:v>
      </x:c>
      <x:c r="J211" s="22" t="str">
        <x:v>ativo</x:v>
      </x:c>
      <x:c r="K211" s="39" t="str">
        <x:v>55.597.288/0001-15</x:v>
      </x:c>
      <x:c r="L211" s="39" t="str">
        <x:v>0R0303</x:v>
      </x:c>
      <x:c r="M211" s="39" t="str">
        <x:v>0</x:v>
      </x:c>
      <x:c r="N211" s="38" t="str">
        <x:v>07/03/2026 a 10/07/2026</x:v>
      </x:c>
      <x:c r="O211" s="40" t="n">
        <x:v>1450</x:v>
      </x:c>
      <x:c r="P211" s="22" t="str">
        <x:v>Cobrança realizada</x:v>
      </x:c>
      <x:c r="Q211" s="22" t="str">
        <x:v>Cobrança: 11 99406-0919 e e-mail - 24/08</x:v>
      </x:c>
    </x:row>
    <x:row r="212">
      <x:c r="A212" s="22" t="str">
        <x:v>Dani</x:v>
      </x:c>
      <x:c r="B212" s="22" t="n">
        <x:v>42</x:v>
      </x:c>
      <x:c r="C212" s="38" t="n">
        <x:v>46247</x:v>
      </x:c>
      <x:c r="D212" s="22" t="str">
        <x:v>Lello</x:v>
      </x:c>
      <x:c r="E212" s="22" t="n">
        <x:v>2</x:v>
      </x:c>
      <x:c r="F212" s="22" t="n">
        <x:v>62905</x:v>
      </x:c>
      <x:c r="G212" s="22" t="str">
        <x:v>COND. CO.NEXT LIBERDADE</x:v>
      </x:c>
      <x:c r="H212" s="22" t="str">
        <x:v>CONDOMÍNIO CO.NEXT LIBERDADE</x:v>
      </x:c>
      <x:c r="I212" s="22" t="str">
        <x:v>Confirmado</x:v>
      </x:c>
      <x:c r="J212" s="22" t="str">
        <x:v>ativo</x:v>
      </x:c>
      <x:c r="K212" s="39" t="str">
        <x:v>55.597.288/0001-15</x:v>
      </x:c>
      <x:c r="L212" s="39" t="str">
        <x:v>0R1018</x:v>
      </x:c>
      <x:c r="M212" s="39" t="str">
        <x:v>0</x:v>
      </x:c>
      <x:c r="N212" s="38" t="n">
        <x:v>46060</x:v>
      </x:c>
      <x:c r="O212" s="40" t="n">
        <x:v>926.03</x:v>
      </x:c>
      <x:c r="P212" s="22" t="str">
        <x:v>Sem andamento registrado</x:v>
      </x:c>
      <x:c r="Q212" s="22" t="str"/>
    </x:row>
    <x:row r="213">
      <x:c r="A213" s="22" t="str">
        <x:v>Dani</x:v>
      </x:c>
      <x:c r="B213" s="22" t="n">
        <x:v>43</x:v>
      </x:c>
      <x:c r="C213" s="38" t="n">
        <x:v>46247</x:v>
      </x:c>
      <x:c r="D213" s="22" t="str">
        <x:v>Lello</x:v>
      </x:c>
      <x:c r="E213" s="22" t="n">
        <x:v>2</x:v>
      </x:c>
      <x:c r="F213" s="22" t="n">
        <x:v>62905</x:v>
      </x:c>
      <x:c r="G213" s="22" t="str">
        <x:v>COND. CO.NEXT LIBERDADE</x:v>
      </x:c>
      <x:c r="H213" s="22" t="str">
        <x:v>CONDOMÍNIO CO.NEXT LIBERDADE</x:v>
      </x:c>
      <x:c r="I213" s="22" t="str">
        <x:v>Confirmado</x:v>
      </x:c>
      <x:c r="J213" s="22" t="str">
        <x:v>ativo</x:v>
      </x:c>
      <x:c r="K213" s="39" t="str">
        <x:v>55.597.288/0001-15</x:v>
      </x:c>
      <x:c r="L213" s="39" t="str">
        <x:v>0R1101</x:v>
      </x:c>
      <x:c r="M213" s="39" t="str">
        <x:v>0</x:v>
      </x:c>
      <x:c r="N213" s="38" t="n">
        <x:v>46213</x:v>
      </x:c>
      <x:c r="O213" s="40" t="n">
        <x:v>425.8</x:v>
      </x:c>
      <x:c r="P213" s="22" t="str">
        <x:v>Sem andamento registrado</x:v>
      </x:c>
      <x:c r="Q213" s="22" t="str"/>
    </x:row>
    <x:row r="214">
      <x:c r="A214" s="22" t="str">
        <x:v>Dani</x:v>
      </x:c>
      <x:c r="B214" s="22" t="n">
        <x:v>44</x:v>
      </x:c>
      <x:c r="C214" s="38" t="n">
        <x:v>46247</x:v>
      </x:c>
      <x:c r="D214" s="22" t="str">
        <x:v>Lello</x:v>
      </x:c>
      <x:c r="E214" s="22" t="n">
        <x:v>2</x:v>
      </x:c>
      <x:c r="F214" s="22" t="n">
        <x:v>62905</x:v>
      </x:c>
      <x:c r="G214" s="22" t="str">
        <x:v>COND. CO.NEXT LIBERDADE</x:v>
      </x:c>
      <x:c r="H214" s="22" t="str">
        <x:v>CONDOMÍNIO CO.NEXT LIBERDADE</x:v>
      </x:c>
      <x:c r="I214" s="22" t="str">
        <x:v>Confirmado</x:v>
      </x:c>
      <x:c r="J214" s="22" t="str">
        <x:v>ativo</x:v>
      </x:c>
      <x:c r="K214" s="39" t="str">
        <x:v>55.597.288/0001-15</x:v>
      </x:c>
      <x:c r="L214" s="39" t="str">
        <x:v>0R1114</x:v>
      </x:c>
      <x:c r="M214" s="39" t="str">
        <x:v>0</x:v>
      </x:c>
      <x:c r="N214" s="38" t="str">
        <x:v>07/03/2026 e 07/06/206</x:v>
      </x:c>
      <x:c r="O214" s="40" t="n">
        <x:v>1200</x:v>
      </x:c>
      <x:c r="P214" s="22" t="str">
        <x:v>Sem contato</x:v>
      </x:c>
      <x:c r="Q214" s="22" t="str">
        <x:v>Achar ctt | Cobrança: E-mail - 24/08</x:v>
      </x:c>
    </x:row>
    <x:row r="215">
      <x:c r="A215" s="22" t="str">
        <x:v>Dani</x:v>
      </x:c>
      <x:c r="B215" s="22" t="n">
        <x:v>45</x:v>
      </x:c>
      <x:c r="C215" s="38" t="n">
        <x:v>46247</x:v>
      </x:c>
      <x:c r="D215" s="22" t="str">
        <x:v>Lello</x:v>
      </x:c>
      <x:c r="E215" s="22" t="n">
        <x:v>2</x:v>
      </x:c>
      <x:c r="F215" s="22" t="n">
        <x:v>62905</x:v>
      </x:c>
      <x:c r="G215" s="22" t="str">
        <x:v>COND. CO.NEXT LIBERDADE</x:v>
      </x:c>
      <x:c r="H215" s="22" t="str">
        <x:v>CONDOMÍNIO CO.NEXT LIBERDADE</x:v>
      </x:c>
      <x:c r="I215" s="22" t="str">
        <x:v>Confirmado</x:v>
      </x:c>
      <x:c r="J215" s="22" t="str">
        <x:v>ativo</x:v>
      </x:c>
      <x:c r="K215" s="39" t="str">
        <x:v>55.597.288/0001-15</x:v>
      </x:c>
      <x:c r="L215" s="39" t="str">
        <x:v>0R1206</x:v>
      </x:c>
      <x:c r="M215" s="39" t="str">
        <x:v>0</x:v>
      </x:c>
      <x:c r="N215" s="38" t="str">
        <x:v>07/01/2026 a 10/07/2026</x:v>
      </x:c>
      <x:c r="O215" s="40" t="n">
        <x:v>1992.59</x:v>
      </x:c>
      <x:c r="P215" s="22" t="str">
        <x:v>Cobrança realizada</x:v>
      </x:c>
      <x:c r="Q215" s="22" t="str">
        <x:v>Cobrança: 11 99396-7661 e e-mail - 24/08</x:v>
      </x:c>
    </x:row>
    <x:row r="216">
      <x:c r="A216" s="22" t="str">
        <x:v>Dani</x:v>
      </x:c>
      <x:c r="B216" s="22" t="n">
        <x:v>46</x:v>
      </x:c>
      <x:c r="C216" s="38" t="n">
        <x:v>46247</x:v>
      </x:c>
      <x:c r="D216" s="22" t="str">
        <x:v>Lello</x:v>
      </x:c>
      <x:c r="E216" s="22" t="n">
        <x:v>2</x:v>
      </x:c>
      <x:c r="F216" s="22" t="n">
        <x:v>62905</x:v>
      </x:c>
      <x:c r="G216" s="22" t="str">
        <x:v>COND. CO.NEXT LIBERDADE</x:v>
      </x:c>
      <x:c r="H216" s="22" t="str">
        <x:v>CONDOMÍNIO CO.NEXT LIBERDADE</x:v>
      </x:c>
      <x:c r="I216" s="22" t="str">
        <x:v>Confirmado</x:v>
      </x:c>
      <x:c r="J216" s="22" t="str">
        <x:v>ativo</x:v>
      </x:c>
      <x:c r="K216" s="39" t="str">
        <x:v>55.597.288/0001-15</x:v>
      </x:c>
      <x:c r="L216" s="39" t="str">
        <x:v>0R1217</x:v>
      </x:c>
      <x:c r="M216" s="39" t="str">
        <x:v>0</x:v>
      </x:c>
      <x:c r="N216" s="38" t="n">
        <x:v>46213</x:v>
      </x:c>
      <x:c r="O216" s="40" t="n">
        <x:v>700.08</x:v>
      </x:c>
      <x:c r="P216" s="22" t="str">
        <x:v>Sem andamento registrado</x:v>
      </x:c>
      <x:c r="Q216" s="22" t="str"/>
    </x:row>
    <x:row r="217">
      <x:c r="A217" s="22" t="str">
        <x:v>Dani</x:v>
      </x:c>
      <x:c r="B217" s="22" t="n">
        <x:v>47</x:v>
      </x:c>
      <x:c r="C217" s="38" t="n">
        <x:v>46247</x:v>
      </x:c>
      <x:c r="D217" s="22" t="str">
        <x:v>Lello</x:v>
      </x:c>
      <x:c r="E217" s="22" t="n">
        <x:v>2</x:v>
      </x:c>
      <x:c r="F217" s="22" t="n">
        <x:v>62905</x:v>
      </x:c>
      <x:c r="G217" s="22" t="str">
        <x:v>COND. CO.NEXT LIBERDADE</x:v>
      </x:c>
      <x:c r="H217" s="22" t="str">
        <x:v>CONDOMÍNIO CO.NEXT LIBERDADE</x:v>
      </x:c>
      <x:c r="I217" s="22" t="str">
        <x:v>Confirmado</x:v>
      </x:c>
      <x:c r="J217" s="22" t="str">
        <x:v>ativo</x:v>
      </x:c>
      <x:c r="K217" s="39" t="str">
        <x:v>55.597.288/0001-15</x:v>
      </x:c>
      <x:c r="L217" s="39" t="str">
        <x:v>0R1316</x:v>
      </x:c>
      <x:c r="M217" s="39" t="str">
        <x:v>0</x:v>
      </x:c>
      <x:c r="N217" s="38" t="n">
        <x:v>46213</x:v>
      </x:c>
      <x:c r="O217" s="40" t="n">
        <x:v>507.01</x:v>
      </x:c>
      <x:c r="P217" s="22" t="str">
        <x:v>Sem andamento registrado</x:v>
      </x:c>
      <x:c r="Q217" s="22" t="str"/>
    </x:row>
    <x:row r="218">
      <x:c r="A218" s="22" t="str">
        <x:v>Dani</x:v>
      </x:c>
      <x:c r="B218" s="22" t="n">
        <x:v>48</x:v>
      </x:c>
      <x:c r="C218" s="38" t="n">
        <x:v>46247</x:v>
      </x:c>
      <x:c r="D218" s="22" t="str">
        <x:v>Lello</x:v>
      </x:c>
      <x:c r="E218" s="22" t="n">
        <x:v>2</x:v>
      </x:c>
      <x:c r="F218" s="22" t="n">
        <x:v>62905</x:v>
      </x:c>
      <x:c r="G218" s="22" t="str">
        <x:v>COND. CO.NEXT LIBERDADE</x:v>
      </x:c>
      <x:c r="H218" s="22" t="str">
        <x:v>CONDOMÍNIO CO.NEXT LIBERDADE</x:v>
      </x:c>
      <x:c r="I218" s="22" t="str">
        <x:v>Confirmado</x:v>
      </x:c>
      <x:c r="J218" s="22" t="str">
        <x:v>ativo</x:v>
      </x:c>
      <x:c r="K218" s="39" t="str">
        <x:v>55.597.288/0001-15</x:v>
      </x:c>
      <x:c r="L218" s="39" t="str">
        <x:v>0R1406</x:v>
      </x:c>
      <x:c r="M218" s="39" t="str">
        <x:v>0</x:v>
      </x:c>
      <x:c r="N218" s="38" t="str">
        <x:v>07/03/2026 a 10/07/2026</x:v>
      </x:c>
      <x:c r="O218" s="40" t="n">
        <x:v>1450</x:v>
      </x:c>
      <x:c r="P218" s="22" t="str">
        <x:v>Cobrança realizada</x:v>
      </x:c>
      <x:c r="Q218" s="22" t="str">
        <x:v>Cobrança: 11 99406-0919 e e-mail - 24/08</x:v>
      </x:c>
    </x:row>
    <x:row r="219">
      <x:c r="A219" s="22" t="str">
        <x:v>Dani</x:v>
      </x:c>
      <x:c r="B219" s="22" t="n">
        <x:v>49</x:v>
      </x:c>
      <x:c r="C219" s="38" t="n">
        <x:v>46247</x:v>
      </x:c>
      <x:c r="D219" s="22" t="str">
        <x:v>Lello</x:v>
      </x:c>
      <x:c r="E219" s="22" t="n">
        <x:v>2</x:v>
      </x:c>
      <x:c r="F219" s="22" t="n">
        <x:v>62905</x:v>
      </x:c>
      <x:c r="G219" s="22" t="str">
        <x:v>COND. CO.NEXT LIBERDADE</x:v>
      </x:c>
      <x:c r="H219" s="22" t="str">
        <x:v>CONDOMÍNIO CO.NEXT LIBERDADE</x:v>
      </x:c>
      <x:c r="I219" s="22" t="str">
        <x:v>Confirmado</x:v>
      </x:c>
      <x:c r="J219" s="22" t="str">
        <x:v>ativo</x:v>
      </x:c>
      <x:c r="K219" s="39" t="str">
        <x:v>55.597.288/0001-15</x:v>
      </x:c>
      <x:c r="L219" s="39" t="str">
        <x:v>0R1511</x:v>
      </x:c>
      <x:c r="M219" s="39" t="str">
        <x:v>0</x:v>
      </x:c>
      <x:c r="N219" s="38" t="n">
        <x:v>46213</x:v>
      </x:c>
      <x:c r="O219" s="40" t="n">
        <x:v>492.28</x:v>
      </x:c>
      <x:c r="P219" s="22" t="str">
        <x:v>Sem andamento registrado</x:v>
      </x:c>
      <x:c r="Q219" s="22" t="str"/>
    </x:row>
    <x:row r="220">
      <x:c r="A220" s="22" t="str">
        <x:v>Dani</x:v>
      </x:c>
      <x:c r="B220" s="22" t="n">
        <x:v>50</x:v>
      </x:c>
      <x:c r="C220" s="38" t="n">
        <x:v>46247</x:v>
      </x:c>
      <x:c r="D220" s="22" t="str">
        <x:v>Lello</x:v>
      </x:c>
      <x:c r="E220" s="22" t="n">
        <x:v>2</x:v>
      </x:c>
      <x:c r="F220" s="22" t="n">
        <x:v>62905</x:v>
      </x:c>
      <x:c r="G220" s="22" t="str">
        <x:v>COND. CO.NEXT LIBERDADE</x:v>
      </x:c>
      <x:c r="H220" s="22" t="str">
        <x:v>CONDOMÍNIO CO.NEXT LIBERDADE</x:v>
      </x:c>
      <x:c r="I220" s="22" t="str">
        <x:v>Confirmado</x:v>
      </x:c>
      <x:c r="J220" s="22" t="str">
        <x:v>ativo</x:v>
      </x:c>
      <x:c r="K220" s="39" t="str">
        <x:v>55.597.288/0001-15</x:v>
      </x:c>
      <x:c r="L220" s="39" t="str">
        <x:v>0S0513</x:v>
      </x:c>
      <x:c r="M220" s="39" t="str">
        <x:v>0</x:v>
      </x:c>
      <x:c r="N220" s="38" t="n">
        <x:v>46213</x:v>
      </x:c>
      <x:c r="O220" s="40" t="n">
        <x:v>390.17</x:v>
      </x:c>
      <x:c r="P220" s="22" t="str">
        <x:v>Sem andamento registrado</x:v>
      </x:c>
      <x:c r="Q220" s="22" t="str"/>
    </x:row>
    <x:row r="221">
      <x:c r="A221" s="22" t="str">
        <x:v>Dani</x:v>
      </x:c>
      <x:c r="B221" s="22" t="n">
        <x:v>51</x:v>
      </x:c>
      <x:c r="C221" s="38" t="n">
        <x:v>46247</x:v>
      </x:c>
      <x:c r="D221" s="22" t="str">
        <x:v>Lello</x:v>
      </x:c>
      <x:c r="E221" s="22" t="n">
        <x:v>2</x:v>
      </x:c>
      <x:c r="F221" s="22" t="n">
        <x:v>62905</x:v>
      </x:c>
      <x:c r="G221" s="22" t="str">
        <x:v>COND. CO.NEXT LIBERDADE</x:v>
      </x:c>
      <x:c r="H221" s="22" t="str">
        <x:v>CONDOMÍNIO CO.NEXT LIBERDADE</x:v>
      </x:c>
      <x:c r="I221" s="22" t="str">
        <x:v>Confirmado</x:v>
      </x:c>
      <x:c r="J221" s="22" t="str">
        <x:v>ativo</x:v>
      </x:c>
      <x:c r="K221" s="39" t="str">
        <x:v>55.597.288/0001-15</x:v>
      </x:c>
      <x:c r="L221" s="39" t="str">
        <x:v>0V02-1</x:v>
      </x:c>
      <x:c r="M221" s="39" t="str">
        <x:v>0</x:v>
      </x:c>
      <x:c r="N221" s="38" t="str">
        <x:v>07/03/2026 a 10/08/2026</x:v>
      </x:c>
      <x:c r="O221" s="40" t="n">
        <x:v>125.55</x:v>
      </x:c>
      <x:c r="P221" s="22" t="str">
        <x:v>Sem andamento registrado</x:v>
      </x:c>
      <x:c r="Q221" s="22" t="str"/>
    </x:row>
    <x:row r="222">
      <x:c r="A222" s="22" t="str">
        <x:v>Dani</x:v>
      </x:c>
      <x:c r="B222" s="22" t="n">
        <x:v>52</x:v>
      </x:c>
      <x:c r="C222" s="38" t="n">
        <x:v>46252</x:v>
      </x:c>
      <x:c r="D222" s="22" t="str">
        <x:v>MANAGER</x:v>
      </x:c>
      <x:c r="E222" s="22" t="n">
        <x:v>3</x:v>
      </x:c>
      <x:c r="F222" s="22" t="n">
        <x:v>761</x:v>
      </x:c>
      <x:c r="G222" s="22" t="str">
        <x:v>CONDOMÍNIO EDIFÍCIO IMPERIAL BERRINI OFFICES</x:v>
      </x:c>
      <x:c r="H222" s="22" t="str">
        <x:v>CONDOMÍNIO EDIFÍCIO IMPERIAL BERRINI OFFICES</x:v>
      </x:c>
      <x:c r="I222" s="22" t="str">
        <x:v>Confirmado</x:v>
      </x:c>
      <x:c r="J222" s="22" t="str">
        <x:v>ativo</x:v>
      </x:c>
      <x:c r="K222" s="39" t="str">
        <x:v>02.498.495/0001-56</x:v>
      </x:c>
      <x:c r="L222" s="39" t="str">
        <x:v>1109</x:v>
      </x:c>
      <x:c r="M222" s="39" t="str">
        <x:v>0</x:v>
      </x:c>
      <x:c r="N222" s="38" t="n">
        <x:v>46178</x:v>
      </x:c>
      <x:c r="O222" s="40" t="n">
        <x:v>1166.45</x:v>
      </x:c>
      <x:c r="P222" s="22" t="str">
        <x:v>Cobrança realizada</x:v>
      </x:c>
      <x:c r="Q222" s="22" t="str">
        <x:v>Cobrança: 11 99977-7252 e e-mail - 20/08</x:v>
      </x:c>
    </x:row>
    <x:row r="223">
      <x:c r="A223" s="22" t="str">
        <x:v>Dani</x:v>
      </x:c>
      <x:c r="B223" s="22" t="n">
        <x:v>53</x:v>
      </x:c>
      <x:c r="C223" s="38" t="n">
        <x:v>46252</x:v>
      </x:c>
      <x:c r="D223" s="22" t="str">
        <x:v>MANAGER</x:v>
      </x:c>
      <x:c r="E223" s="22" t="n">
        <x:v>3</x:v>
      </x:c>
      <x:c r="F223" s="22" t="n">
        <x:v>761</x:v>
      </x:c>
      <x:c r="G223" s="22" t="str">
        <x:v>CONDOMÍNIO EDIFÍCIO IMPERIAL BERRINI OFFICES</x:v>
      </x:c>
      <x:c r="H223" s="22" t="str">
        <x:v>CONDOMÍNIO EDIFÍCIO IMPERIAL BERRINI OFFICES</x:v>
      </x:c>
      <x:c r="I223" s="22" t="str">
        <x:v>Confirmado</x:v>
      </x:c>
      <x:c r="J223" s="22" t="str">
        <x:v>ativo</x:v>
      </x:c>
      <x:c r="K223" s="39" t="str">
        <x:v>02.498.495/0001-56</x:v>
      </x:c>
      <x:c r="L223" s="39" t="str">
        <x:v>1116</x:v>
      </x:c>
      <x:c r="M223" s="39" t="str">
        <x:v>0</x:v>
      </x:c>
      <x:c r="N223" s="38" t="n">
        <x:v>46178</x:v>
      </x:c>
      <x:c r="O223" s="40" t="n">
        <x:v>945.93</x:v>
      </x:c>
      <x:c r="P223" s="22" t="str">
        <x:v>Sem contato</x:v>
      </x:c>
      <x:c r="Q223" s="22" t="str">
        <x:v>Achar ctt | Cobrança:  e-mail - 20/08</x:v>
      </x:c>
    </x:row>
    <x:row r="224">
      <x:c r="A224" s="22" t="str">
        <x:v>Dani</x:v>
      </x:c>
      <x:c r="B224" s="22" t="n">
        <x:v>54</x:v>
      </x:c>
      <x:c r="C224" s="38" t="n">
        <x:v>46252</x:v>
      </x:c>
      <x:c r="D224" s="22" t="str">
        <x:v>MANAGER</x:v>
      </x:c>
      <x:c r="E224" s="22" t="n">
        <x:v>3</x:v>
      </x:c>
      <x:c r="F224" s="22" t="n">
        <x:v>2355</x:v>
      </x:c>
      <x:c r="G224" s="22" t="str">
        <x:v>CONDOMINIO ALPHAVILLE TRES PRAIAS – RESIDENCIAL 3</x:v>
      </x:c>
      <x:c r="H224" s="22" t="str">
        <x:v>CONDOMÍNIO ALPHAVILLE TRES PRAIAS – RESIDENCIAL 3</x:v>
      </x:c>
      <x:c r="I224" s="22" t="str">
        <x:v>Confirmado</x:v>
      </x:c>
      <x:c r="J224" s="22" t="str">
        <x:v>ativo</x:v>
      </x:c>
      <x:c r="K224" s="39" t="str">
        <x:v>55.526.739/0001-23</x:v>
      </x:c>
      <x:c r="L224" s="39" t="str">
        <x:v>20 E2</x:v>
      </x:c>
      <x:c r="M224" s="39" t="str">
        <x:v>E2</x:v>
      </x:c>
      <x:c r="N224" s="38" t="n">
        <x:v>46213</x:v>
      </x:c>
      <x:c r="O224" s="40" t="n">
        <x:v>2634.21</x:v>
      </x:c>
      <x:c r="P224" s="22" t="str">
        <x:v>Com acordo</x:v>
      </x:c>
      <x:c r="Q224" s="22" t="str">
        <x:v>Cobrança: 27 99988-0104 e e-mail - 20/08 | Cobrança: 27 99988-0104 e e-mail - 24/08 | Acordo com venc 24/08</x:v>
      </x:c>
    </x:row>
    <x:row r="225">
      <x:c r="A225" s="22" t="str">
        <x:v>Dani</x:v>
      </x:c>
      <x:c r="B225" s="22" t="n">
        <x:v>55</x:v>
      </x:c>
      <x:c r="C225" s="38" t="n">
        <x:v>46252</x:v>
      </x:c>
      <x:c r="D225" s="22" t="str">
        <x:v>MANAGER</x:v>
      </x:c>
      <x:c r="E225" s="22" t="n">
        <x:v>3</x:v>
      </x:c>
      <x:c r="F225" s="22" t="n">
        <x:v>2355</x:v>
      </x:c>
      <x:c r="G225" s="22" t="str">
        <x:v>CONDOMINIO ALPHAVILLE TRES PRAIAS – RESIDENCIAL 3</x:v>
      </x:c>
      <x:c r="H225" s="22" t="str">
        <x:v>CONDOMÍNIO ALPHAVILLE TRES PRAIAS – RESIDENCIAL 3</x:v>
      </x:c>
      <x:c r="I225" s="22" t="str">
        <x:v>Confirmado</x:v>
      </x:c>
      <x:c r="J225" s="22" t="str">
        <x:v>ativo</x:v>
      </x:c>
      <x:c r="K225" s="39" t="str">
        <x:v>55.526.739/0001-23</x:v>
      </x:c>
      <x:c r="L225" s="39" t="str">
        <x:v>11 D2</x:v>
      </x:c>
      <x:c r="M225" s="39" t="str">
        <x:v>D2</x:v>
      </x:c>
      <x:c r="N225" s="38" t="n">
        <x:v>46183</x:v>
      </x:c>
      <x:c r="O225" s="40" t="n">
        <x:v>1318.55</x:v>
      </x:c>
      <x:c r="P225" s="22" t="str">
        <x:v>Cobrança realizada</x:v>
      </x:c>
      <x:c r="Q225" s="22" t="str">
        <x:v>Cobrança: 27 99839-0576 e e-mail - 20/08 | Cobrança: 27 99839-0576 e e-mail - 24/08</x:v>
      </x:c>
    </x:row>
    <x:row r="226">
      <x:c r="A226" s="22" t="str">
        <x:v>Dani</x:v>
      </x:c>
      <x:c r="B226" s="22" t="n">
        <x:v>56</x:v>
      </x:c>
      <x:c r="C226" s="38" t="n">
        <x:v>46252</x:v>
      </x:c>
      <x:c r="D226" s="22" t="str">
        <x:v>MANAGER</x:v>
      </x:c>
      <x:c r="E226" s="22" t="n">
        <x:v>3</x:v>
      </x:c>
      <x:c r="F226" s="22" t="n">
        <x:v>241</x:v>
      </x:c>
      <x:c r="G226" s="22" t="str">
        <x:v>CONDOMÍNIO VILLA DORIA</x:v>
      </x:c>
      <x:c r="H226" s="22" t="str">
        <x:v>CONDOMÍNIO VILLA DORIA</x:v>
      </x:c>
      <x:c r="I226" s="22" t="str">
        <x:v>Confirmado</x:v>
      </x:c>
      <x:c r="J226" s="22" t="str">
        <x:v>inativo</x:v>
      </x:c>
      <x:c r="K226" s="39" t="str">
        <x:v>05.382.774/0001-48</x:v>
      </x:c>
      <x:c r="L226" s="39" t="str">
        <x:v>52</x:v>
      </x:c>
      <x:c r="M226" s="39" t="str">
        <x:v>0</x:v>
      </x:c>
      <x:c r="N226" s="38" t="str">
        <x:v>10/05/2025 a 10/09/2026</x:v>
      </x:c>
      <x:c r="O226" s="40" t="n">
        <x:v>3920.44</x:v>
      </x:c>
      <x:c r="P226" s="22" t="str">
        <x:v>Com acordo</x:v>
      </x:c>
      <x:c r="Q226" s="22" t="str">
        <x:v>Caso não haja acordo encaminhar pro juridico - aguardando ctt do sindico | Cobrança: neide@csr.imb.br - 24/08</x:v>
      </x:c>
    </x:row>
    <x:row r="227">
      <x:c r="A227" s="22" t="str">
        <x:v>Dani</x:v>
      </x:c>
      <x:c r="B227" s="22" t="n">
        <x:v>57</x:v>
      </x:c>
      <x:c r="C227" s="38" t="n">
        <x:v>46252</x:v>
      </x:c>
      <x:c r="D227" s="22" t="str">
        <x:v>MANAGER</x:v>
      </x:c>
      <x:c r="E227" s="22" t="n">
        <x:v>3</x:v>
      </x:c>
      <x:c r="F227" s="22" t="n">
        <x:v>2144</x:v>
      </x:c>
      <x:c r="G227" s="22" t="str">
        <x:v>CONDOMÍNIO PROJECT HOME</x:v>
      </x:c>
      <x:c r="H227" s="22" t="str">
        <x:v>CONDOMÍNIO PROJECT HOME</x:v>
      </x:c>
      <x:c r="I227" s="22" t="str">
        <x:v>Confirmado</x:v>
      </x:c>
      <x:c r="J227" s="22" t="str">
        <x:v>ativo</x:v>
      </x:c>
      <x:c r="K227" s="39" t="str">
        <x:v>04.763.468/0001-99</x:v>
      </x:c>
      <x:c r="L227" s="39" t="str">
        <x:v>72-03</x:v>
      </x:c>
      <x:c r="M227" s="39" t="str">
        <x:v>3</x:v>
      </x:c>
      <x:c r="N227" s="38" t="n">
        <x:v>46183</x:v>
      </x:c>
      <x:c r="O227" s="40" t="n">
        <x:v>995.59</x:v>
      </x:c>
      <x:c r="P227" s="22" t="str">
        <x:v>Cobrança realizada</x:v>
      </x:c>
      <x:c r="Q227" s="22" t="str">
        <x:v>Cobrança:  21 96908-9981 e e-mail - 24/08</x:v>
      </x:c>
    </x:row>
    <x:row r="228">
      <x:c r="A228" s="22" t="str">
        <x:v>Dani</x:v>
      </x:c>
      <x:c r="B228" s="22" t="n">
        <x:v>58</x:v>
      </x:c>
      <x:c r="C228" s="38" t="n">
        <x:v>46252</x:v>
      </x:c>
      <x:c r="D228" s="22" t="str">
        <x:v>MANAGER</x:v>
      </x:c>
      <x:c r="E228" s="22" t="n">
        <x:v>3</x:v>
      </x:c>
      <x:c r="F228" s="22" t="n">
        <x:v>564</x:v>
      </x:c>
      <x:c r="G228" s="22" t="str">
        <x:v>CONDOMÍNIO VILA DAS CORES</x:v>
      </x:c>
      <x:c r="H228" s="22" t="str">
        <x:v>CONDOMÍNIO VILA DAS CORES</x:v>
      </x:c>
      <x:c r="I228" s="22" t="str">
        <x:v>Confirmado</x:v>
      </x:c>
      <x:c r="J228" s="22" t="str">
        <x:v>ativo</x:v>
      </x:c>
      <x:c r="K228" s="39" t="str">
        <x:v>08.258.385/0001-01</x:v>
      </x:c>
      <x:c r="L228" s="39" t="str">
        <x:v>112</x:v>
      </x:c>
      <x:c r="M228" s="39" t="str">
        <x:v>0</x:v>
      </x:c>
      <x:c r="N228" s="38" t="str">
        <x:v>13/06/2025 A 13/06/2026</x:v>
      </x:c>
      <x:c r="O228" s="40" t="n">
        <x:v>13233.99</x:v>
      </x:c>
      <x:c r="P228" s="22" t="str">
        <x:v>Com acordo</x:v>
      </x:c>
      <x:c r="Q228" s="22" t="str">
        <x:v>Caso não haja acordo encaminhar pro juridico | Cobrança: 11 98638-4730 e e-mail - 24/08</x:v>
      </x:c>
    </x:row>
    <x:row r="229">
      <x:c r="A229" s="22" t="str">
        <x:v>Dani</x:v>
      </x:c>
      <x:c r="B229" s="22" t="n">
        <x:v>59</x:v>
      </x:c>
      <x:c r="C229" s="38" t="n">
        <x:v>46252</x:v>
      </x:c>
      <x:c r="D229" s="22" t="str">
        <x:v>MANAGER</x:v>
      </x:c>
      <x:c r="E229" s="22" t="n">
        <x:v>3</x:v>
      </x:c>
      <x:c r="F229" s="22" t="n">
        <x:v>564</x:v>
      </x:c>
      <x:c r="G229" s="22" t="str">
        <x:v>CONDOMÍNIO VILA DAS CORES</x:v>
      </x:c>
      <x:c r="H229" s="22" t="str">
        <x:v>CONDOMÍNIO VILA DAS CORES</x:v>
      </x:c>
      <x:c r="I229" s="22" t="str">
        <x:v>Confirmado</x:v>
      </x:c>
      <x:c r="J229" s="22" t="str">
        <x:v>ativo</x:v>
      </x:c>
      <x:c r="K229" s="39" t="str">
        <x:v>08.258.385/0001-01</x:v>
      </x:c>
      <x:c r="L229" s="39" t="str">
        <x:v>103</x:v>
      </x:c>
      <x:c r="M229" s="39" t="str">
        <x:v>0</x:v>
      </x:c>
      <x:c r="N229" s="38" t="str">
        <x:v>10/10/2025 A 10/08/2026</x:v>
      </x:c>
      <x:c r="O229" s="40" t="n">
        <x:v>12578.88</x:v>
      </x:c>
      <x:c r="P229" s="22" t="str">
        <x:v>Cobrança realizada</x:v>
      </x:c>
      <x:c r="Q229" s="22" t="str">
        <x:v>Não cobrar | Cobrança: 11 97044-1997 / 11 99784-8294 e e-mail - 24/08 | Possui processo</x:v>
      </x:c>
    </x:row>
    <x:row r="230">
      <x:c r="A230" s="22" t="str">
        <x:v>Dani</x:v>
      </x:c>
      <x:c r="B230" s="22" t="n">
        <x:v>60</x:v>
      </x:c>
      <x:c r="C230" s="38" t="n">
        <x:v>46252</x:v>
      </x:c>
      <x:c r="D230" s="22" t="str">
        <x:v>MANAGER</x:v>
      </x:c>
      <x:c r="E230" s="22" t="n">
        <x:v>3</x:v>
      </x:c>
      <x:c r="F230" s="22" t="n">
        <x:v>564</x:v>
      </x:c>
      <x:c r="G230" s="22" t="str">
        <x:v>CONDOMÍNIO VILA DAS CORES</x:v>
      </x:c>
      <x:c r="H230" s="22" t="str">
        <x:v>CONDOMÍNIO VILA DAS CORES</x:v>
      </x:c>
      <x:c r="I230" s="22" t="str">
        <x:v>Confirmado</x:v>
      </x:c>
      <x:c r="J230" s="22" t="str">
        <x:v>ativo</x:v>
      </x:c>
      <x:c r="K230" s="39" t="str">
        <x:v>08.258.385/0001-01</x:v>
      </x:c>
      <x:c r="L230" s="39" t="str">
        <x:v>154</x:v>
      </x:c>
      <x:c r="M230" s="39" t="str">
        <x:v>0</x:v>
      </x:c>
      <x:c r="N230" s="38" t="n">
        <x:v>46152</x:v>
      </x:c>
      <x:c r="O230" s="40" t="n">
        <x:v>1100.34</x:v>
      </x:c>
      <x:c r="P230" s="22" t="str">
        <x:v>Cobrança realizada</x:v>
      </x:c>
      <x:c r="Q230" s="22" t="str">
        <x:v>Cobrança: 11 91487-4462 / 11 98229-9801 e e-mail - 24/08</x:v>
      </x:c>
    </x:row>
    <x:row r="231">
      <x:c r="A231" s="22" t="str">
        <x:v>Dani</x:v>
      </x:c>
      <x:c r="B231" s="22" t="n">
        <x:v>61</x:v>
      </x:c>
      <x:c r="C231" s="38" t="n">
        <x:v>46254</x:v>
      </x:c>
      <x:c r="D231" s="22" t="str">
        <x:v>LEGUS</x:v>
      </x:c>
      <x:c r="E231" s="22" t="n">
        <x:v>4</x:v>
      </x:c>
      <x:c r="F231" s="22" t="n">
        <x:v>1900</x:v>
      </x:c>
      <x:c r="G231" s="22" t="str">
        <x:v>CONDOMINIO DOMO RESIDENCIAL LIFE</x:v>
      </x:c>
      <x:c r="H231" s="22" t="str">
        <x:v>CONDOMÍNIO DOMO RESIDENCIAL LIFE</x:v>
      </x:c>
      <x:c r="I231" s="22" t="str">
        <x:v>Confirmado</x:v>
      </x:c>
      <x:c r="J231" s="22" t="str">
        <x:v>ativo</x:v>
      </x:c>
      <x:c r="K231" s="39" t="str">
        <x:v>19.719.471/0001-82</x:v>
      </x:c>
      <x:c r="L231" s="39" t="str">
        <x:v>162-01</x:v>
      </x:c>
      <x:c r="M231" s="39" t="str">
        <x:v>1</x:v>
      </x:c>
      <x:c r="N231" s="38" t="n">
        <x:v>46183</x:v>
      </x:c>
      <x:c r="O231" s="40" t="n">
        <x:v>912.64</x:v>
      </x:c>
      <x:c r="P231" s="22" t="str">
        <x:v>Sem contato</x:v>
      </x:c>
      <x:c r="Q231" s="22" t="str">
        <x:v>Achar ctt | Cobrança: e-mail - 24/08</x:v>
      </x:c>
    </x:row>
    <x:row r="232">
      <x:c r="A232" s="22" t="str">
        <x:v>Dani</x:v>
      </x:c>
      <x:c r="B232" s="22" t="n">
        <x:v>62</x:v>
      </x:c>
      <x:c r="C232" s="38" t="n">
        <x:v>46254</x:v>
      </x:c>
      <x:c r="D232" s="22" t="str">
        <x:v>BBZ</x:v>
      </x:c>
      <x:c r="E232" s="22" t="n">
        <x:v>4</x:v>
      </x:c>
      <x:c r="F232" s="22" t="n">
        <x:v>1900</x:v>
      </x:c>
      <x:c r="G232" s="22" t="str">
        <x:v>CONDOMINIO DOMO RESIDENCIAL LIFE</x:v>
      </x:c>
      <x:c r="H232" s="22" t="str">
        <x:v>CONDOMÍNIO DOMO RESIDENCIAL LIFE</x:v>
      </x:c>
      <x:c r="I232" s="22" t="str">
        <x:v>Confirmado</x:v>
      </x:c>
      <x:c r="J232" s="22" t="str">
        <x:v>ativo</x:v>
      </x:c>
      <x:c r="K232" s="39" t="str">
        <x:v>19.719.471/0001-82</x:v>
      </x:c>
      <x:c r="L232" s="39" t="str">
        <x:v>123-02</x:v>
      </x:c>
      <x:c r="M232" s="39" t="str">
        <x:v>2</x:v>
      </x:c>
      <x:c r="N232" s="38" t="str">
        <x:v>10/05/2026 E 10/06/2026</x:v>
      </x:c>
      <x:c r="O232" s="40" t="n">
        <x:v>2661.32</x:v>
      </x:c>
      <x:c r="P232" s="22" t="str">
        <x:v>Contato ativo</x:v>
      </x:c>
      <x:c r="Q232" s="22" t="str">
        <x:v>Ctt ativo: 11 98394-3362 | Contato ativo</x:v>
      </x:c>
    </x:row>
    <x:row r="233">
      <x:c r="A233" s="22" t="str">
        <x:v>Dani</x:v>
      </x:c>
      <x:c r="B233" s="22" t="n">
        <x:v>63</x:v>
      </x:c>
      <x:c r="C233" s="38" t="n">
        <x:v>46254</x:v>
      </x:c>
      <x:c r="D233" s="22" t="str">
        <x:v>BBZ</x:v>
      </x:c>
      <x:c r="E233" s="22" t="n">
        <x:v>4</x:v>
      </x:c>
      <x:c r="F233" s="22" t="n">
        <x:v>1900</x:v>
      </x:c>
      <x:c r="G233" s="22" t="str">
        <x:v>CONDOMINIO DOMO RESIDENCIAL LIFE</x:v>
      </x:c>
      <x:c r="H233" s="22" t="str">
        <x:v>CONDOMÍNIO DOMO RESIDENCIAL LIFE</x:v>
      </x:c>
      <x:c r="I233" s="22" t="str">
        <x:v>Confirmado</x:v>
      </x:c>
      <x:c r="J233" s="22" t="str">
        <x:v>ativo</x:v>
      </x:c>
      <x:c r="K233" s="39" t="str">
        <x:v>19.719.471/0001-82</x:v>
      </x:c>
      <x:c r="L233" s="39" t="str">
        <x:v>262-02</x:v>
      </x:c>
      <x:c r="M233" s="39" t="str">
        <x:v>2</x:v>
      </x:c>
      <x:c r="N233" s="38" t="n">
        <x:v>46183</x:v>
      </x:c>
      <x:c r="O233" s="40" t="n">
        <x:v>1694.55</x:v>
      </x:c>
      <x:c r="P233" s="22" t="str">
        <x:v>Sem contato</x:v>
      </x:c>
      <x:c r="Q233" s="22" t="str">
        <x:v>Achar ctt | Cobrança: e-mail - 24/08</x:v>
      </x:c>
    </x:row>
    <x:row r="234">
      <x:c r="A234" s="22" t="str">
        <x:v>Dani</x:v>
      </x:c>
      <x:c r="B234" s="22" t="n">
        <x:v>64</x:v>
      </x:c>
      <x:c r="C234" s="38" t="n">
        <x:v>46254</x:v>
      </x:c>
      <x:c r="D234" s="22" t="str">
        <x:v>BBZ</x:v>
      </x:c>
      <x:c r="E234" s="22" t="n">
        <x:v>4</x:v>
      </x:c>
      <x:c r="F234" s="22" t="n">
        <x:v>1900</x:v>
      </x:c>
      <x:c r="G234" s="22" t="str">
        <x:v>CONDOMINIO DOMO RESIDENCIAL LIFE</x:v>
      </x:c>
      <x:c r="H234" s="22" t="str">
        <x:v>CONDOMÍNIO DOMO RESIDENCIAL LIFE</x:v>
      </x:c>
      <x:c r="I234" s="22" t="str">
        <x:v>Confirmado</x:v>
      </x:c>
      <x:c r="J234" s="22" t="str">
        <x:v>ativo</x:v>
      </x:c>
      <x:c r="K234" s="39" t="str">
        <x:v>19.719.471/0001-82</x:v>
      </x:c>
      <x:c r="L234" s="39" t="str">
        <x:v>22-04</x:v>
      </x:c>
      <x:c r="M234" s="39" t="str">
        <x:v>4</x:v>
      </x:c>
      <x:c r="N234" s="38" t="n">
        <x:v>46183</x:v>
      </x:c>
      <x:c r="O234" s="40" t="n">
        <x:v>1607.14</x:v>
      </x:c>
      <x:c r="P234" s="22" t="str">
        <x:v>Cobrança realizada</x:v>
      </x:c>
      <x:c r="Q234" s="22" t="str">
        <x:v>Cobrança: 11 97623-6707 e e-mail - 24/08</x:v>
      </x:c>
    </x:row>
    <x:row r="235">
      <x:c r="A235" s="22" t="str">
        <x:v>Dani</x:v>
      </x:c>
      <x:c r="B235" s="22" t="n">
        <x:v>65</x:v>
      </x:c>
      <x:c r="C235" s="38" t="n">
        <x:v>46254</x:v>
      </x:c>
      <x:c r="D235" s="22" t="str">
        <x:v>BBZ</x:v>
      </x:c>
      <x:c r="E235" s="22" t="n">
        <x:v>4</x:v>
      </x:c>
      <x:c r="F235" s="22" t="n">
        <x:v>1900</x:v>
      </x:c>
      <x:c r="G235" s="22" t="str">
        <x:v>CONDOMINIO DOMO RESIDENCIAL LIFE</x:v>
      </x:c>
      <x:c r="H235" s="22" t="str">
        <x:v>CONDOMÍNIO DOMO RESIDENCIAL LIFE</x:v>
      </x:c>
      <x:c r="I235" s="22" t="str">
        <x:v>Confirmado</x:v>
      </x:c>
      <x:c r="J235" s="22" t="str">
        <x:v>ativo</x:v>
      </x:c>
      <x:c r="K235" s="39" t="str">
        <x:v>19.719.471/0001-82</x:v>
      </x:c>
      <x:c r="L235" s="39" t="str">
        <x:v>51-04</x:v>
      </x:c>
      <x:c r="M235" s="39" t="str">
        <x:v>4</x:v>
      </x:c>
      <x:c r="N235" s="38" t="str">
        <x:v>10/05/2026 E 10/06/2026</x:v>
      </x:c>
      <x:c r="O235" s="40" t="n">
        <x:v>3139.1</x:v>
      </x:c>
      <x:c r="P235" s="22" t="str">
        <x:v>Cobrança realizada</x:v>
      </x:c>
      <x:c r="Q235" s="22" t="str">
        <x:v>Cobrança: 11 94782-8248 e e-mail - 20/08</x:v>
      </x:c>
    </x:row>
    <x:row r="236">
      <x:c r="A236" s="22" t="str">
        <x:v>Dani</x:v>
      </x:c>
      <x:c r="B236" s="22" t="n">
        <x:v>66</x:v>
      </x:c>
      <x:c r="C236" s="38" t="n">
        <x:v>46254</x:v>
      </x:c>
      <x:c r="D236" s="22" t="str">
        <x:v>BBZ</x:v>
      </x:c>
      <x:c r="E236" s="22" t="n">
        <x:v>4</x:v>
      </x:c>
      <x:c r="F236" s="22" t="n">
        <x:v>1900</x:v>
      </x:c>
      <x:c r="G236" s="22" t="str">
        <x:v>CONDOMINIO DOMO RESIDENCIAL LIFE</x:v>
      </x:c>
      <x:c r="H236" s="22" t="str">
        <x:v>CONDOMÍNIO DOMO RESIDENCIAL LIFE</x:v>
      </x:c>
      <x:c r="I236" s="22" t="str">
        <x:v>Confirmado</x:v>
      </x:c>
      <x:c r="J236" s="22" t="str">
        <x:v>ativo</x:v>
      </x:c>
      <x:c r="K236" s="39" t="str">
        <x:v>19.719.471/0001-82</x:v>
      </x:c>
      <x:c r="L236" s="39" t="str">
        <x:v>52-04</x:v>
      </x:c>
      <x:c r="M236" s="39" t="str">
        <x:v>4</x:v>
      </x:c>
      <x:c r="N236" s="38" t="n">
        <x:v>46183</x:v>
      </x:c>
      <x:c r="O236" s="40" t="n">
        <x:v>1421.28</x:v>
      </x:c>
      <x:c r="P236" s="22" t="str">
        <x:v>Sem contato</x:v>
      </x:c>
      <x:c r="Q236" s="22" t="str">
        <x:v>Achar ctt | Cobrança: e-mail - 24/08</x:v>
      </x:c>
    </x:row>
    <x:row r="237">
      <x:c r="A237" s="22" t="str">
        <x:v>Dani</x:v>
      </x:c>
      <x:c r="B237" s="22" t="n">
        <x:v>67</x:v>
      </x:c>
      <x:c r="C237" s="38" t="n">
        <x:v>46254</x:v>
      </x:c>
      <x:c r="D237" s="22" t="str">
        <x:v>BBZ</x:v>
      </x:c>
      <x:c r="E237" s="22" t="n">
        <x:v>4</x:v>
      </x:c>
      <x:c r="F237" s="22" t="n">
        <x:v>1900</x:v>
      </x:c>
      <x:c r="G237" s="22" t="str">
        <x:v>CONDOMINIO DOMO RESIDENCIAL LIFE</x:v>
      </x:c>
      <x:c r="H237" s="22" t="str">
        <x:v>CONDOMÍNIO DOMO RESIDENCIAL LIFE</x:v>
      </x:c>
      <x:c r="I237" s="22" t="str">
        <x:v>Confirmado</x:v>
      </x:c>
      <x:c r="J237" s="22" t="str">
        <x:v>ativo</x:v>
      </x:c>
      <x:c r="K237" s="39" t="str">
        <x:v>19.719.471/0001-82</x:v>
      </x:c>
      <x:c r="L237" s="39" t="str">
        <x:v>252-04</x:v>
      </x:c>
      <x:c r="M237" s="39" t="str">
        <x:v>4</x:v>
      </x:c>
      <x:c r="N237" s="38" t="n">
        <x:v>46183</x:v>
      </x:c>
      <x:c r="O237" s="40" t="n">
        <x:v>1289.88</x:v>
      </x:c>
      <x:c r="P237" s="22" t="str">
        <x:v>Cobrança realizada</x:v>
      </x:c>
      <x:c r="Q237" s="22" t="str">
        <x:v>Cobrança: 11 96899-7010 e e-mail - 24/08</x:v>
      </x:c>
    </x:row>
    <x:row r="238">
      <x:c r="A238" s="22" t="str">
        <x:v>Dani</x:v>
      </x:c>
      <x:c r="B238" s="22" t="n">
        <x:v>68</x:v>
      </x:c>
      <x:c r="C238" s="38" t="n">
        <x:v>46254</x:v>
      </x:c>
      <x:c r="D238" s="22" t="str">
        <x:v>BBZ</x:v>
      </x:c>
      <x:c r="E238" s="22" t="n">
        <x:v>4</x:v>
      </x:c>
      <x:c r="F238" s="22" t="n">
        <x:v>1900</x:v>
      </x:c>
      <x:c r="G238" s="22" t="str">
        <x:v>CONDOMINIO DOMO RESIDENCIAL LIFE</x:v>
      </x:c>
      <x:c r="H238" s="22" t="str">
        <x:v>CONDOMÍNIO DOMO RESIDENCIAL LIFE</x:v>
      </x:c>
      <x:c r="I238" s="22" t="str">
        <x:v>Confirmado</x:v>
      </x:c>
      <x:c r="J238" s="22" t="str">
        <x:v>ativo</x:v>
      </x:c>
      <x:c r="K238" s="39" t="str">
        <x:v>19.719.471/0001-82</x:v>
      </x:c>
      <x:c r="L238" s="39" t="str">
        <x:v>51-06</x:v>
      </x:c>
      <x:c r="M238" s="39" t="str">
        <x:v>6</x:v>
      </x:c>
      <x:c r="N238" s="38" t="n">
        <x:v>46183</x:v>
      </x:c>
      <x:c r="O238" s="40" t="n">
        <x:v>1639.96</x:v>
      </x:c>
      <x:c r="P238" s="22" t="str">
        <x:v>Com acordo</x:v>
      </x:c>
      <x:c r="Q238" s="22" t="str">
        <x:v>Isaias_d_souza@hotmail.com | Ctt ativo: 11 98600-5704 | Acordo com venc 21/08</x:v>
      </x:c>
    </x:row>
    <x:row r="239">
      <x:c r="A239" s="22" t="str">
        <x:v>Dani</x:v>
      </x:c>
      <x:c r="B239" s="22" t="n">
        <x:v>69</x:v>
      </x:c>
      <x:c r="C239" s="38" t="n">
        <x:v>46254</x:v>
      </x:c>
      <x:c r="D239" s="22" t="str">
        <x:v>BBZ</x:v>
      </x:c>
      <x:c r="E239" s="22" t="n">
        <x:v>4</x:v>
      </x:c>
      <x:c r="F239" s="22" t="n">
        <x:v>1900</x:v>
      </x:c>
      <x:c r="G239" s="22" t="str">
        <x:v>CONDOMINIO DOMO RESIDENCIAL LIFE</x:v>
      </x:c>
      <x:c r="H239" s="22" t="str">
        <x:v>CONDOMÍNIO DOMO RESIDENCIAL LIFE</x:v>
      </x:c>
      <x:c r="I239" s="22" t="str">
        <x:v>Confirmado</x:v>
      </x:c>
      <x:c r="J239" s="22" t="str">
        <x:v>ativo</x:v>
      </x:c>
      <x:c r="K239" s="39" t="str">
        <x:v>19.719.471/0001-82</x:v>
      </x:c>
      <x:c r="L239" s="39" t="str">
        <x:v>162-06</x:v>
      </x:c>
      <x:c r="M239" s="39" t="str">
        <x:v>6</x:v>
      </x:c>
      <x:c r="N239" s="38" t="n">
        <x:v>46032</x:v>
      </x:c>
      <x:c r="O239" s="40" t="n">
        <x:v>251.05</x:v>
      </x:c>
      <x:c r="P239" s="22" t="str">
        <x:v>Com acordo</x:v>
      </x:c>
      <x:c r="Q239" s="22" t="str">
        <x:v>caetano.flaminio51@gmail.com | Acordo com venc 21/08</x:v>
      </x:c>
    </x:row>
    <x:row r="240">
      <x:c r="A240" s="22" t="str">
        <x:v>Dani</x:v>
      </x:c>
      <x:c r="B240" s="22" t="n">
        <x:v>70</x:v>
      </x:c>
      <x:c r="C240" s="38" t="n">
        <x:v>46254</x:v>
      </x:c>
      <x:c r="D240" s="22" t="str">
        <x:v>BBZ</x:v>
      </x:c>
      <x:c r="E240" s="22" t="n">
        <x:v>4</x:v>
      </x:c>
      <x:c r="F240" s="22" t="n">
        <x:v>1900</x:v>
      </x:c>
      <x:c r="G240" s="22" t="str">
        <x:v>CONDOMINIO DOMO RESIDENCIAL LIFE</x:v>
      </x:c>
      <x:c r="H240" s="22" t="str">
        <x:v>CONDOMÍNIO DOMO RESIDENCIAL LIFE</x:v>
      </x:c>
      <x:c r="I240" s="22" t="str">
        <x:v>Confirmado</x:v>
      </x:c>
      <x:c r="J240" s="22" t="str">
        <x:v>ativo</x:v>
      </x:c>
      <x:c r="K240" s="39" t="str">
        <x:v>19.719.471/0001-82</x:v>
      </x:c>
      <x:c r="L240" s="39" t="str">
        <x:v>244-06</x:v>
      </x:c>
      <x:c r="M240" s="39" t="str">
        <x:v>6</x:v>
      </x:c>
      <x:c r="N240" s="38" t="n">
        <x:v>46183</x:v>
      </x:c>
      <x:c r="O240" s="40" t="n">
        <x:v>1482.62</x:v>
      </x:c>
      <x:c r="P240" s="22" t="str">
        <x:v>Cobrança realizada</x:v>
      </x:c>
      <x:c r="Q240" s="22" t="str">
        <x:v>Cobrança: 11 97282-7995 e e-mail - 24/08</x:v>
      </x:c>
    </x:row>
    <x:row r="241">
      <x:c r="A241" s="22" t="str">
        <x:v>Dani</x:v>
      </x:c>
      <x:c r="B241" s="22" t="n">
        <x:v>71</x:v>
      </x:c>
      <x:c r="C241" s="38" t="n">
        <x:v>46254</x:v>
      </x:c>
      <x:c r="D241" s="22" t="str">
        <x:v>BBZ</x:v>
      </x:c>
      <x:c r="E241" s="22" t="n">
        <x:v>4</x:v>
      </x:c>
      <x:c r="F241" s="22" t="n">
        <x:v>820</x:v>
      </x:c>
      <x:c r="G241" s="22" t="str">
        <x:v>CONDOMINIO VILA ROMANA NOBRE (CLOCK VILA ROMANA )</x:v>
      </x:c>
      <x:c r="H241" s="22" t="str">
        <x:v>CLOCK VILA ROMANA</x:v>
      </x:c>
      <x:c r="I241" s="22" t="str">
        <x:v>Provável</x:v>
      </x:c>
      <x:c r="J241" s="22" t="str">
        <x:v>ativo</x:v>
      </x:c>
      <x:c r="K241" s="39" t="str">
        <x:v>42.216.619/0001-88</x:v>
      </x:c>
      <x:c r="L241" s="39" t="str">
        <x:v>32-01</x:v>
      </x:c>
      <x:c r="M241" s="39" t="str">
        <x:v>1</x:v>
      </x:c>
      <x:c r="N241" s="38" t="n">
        <x:v>46213</x:v>
      </x:c>
      <x:c r="O241" s="40" t="n">
        <x:v>3244.93</x:v>
      </x:c>
      <x:c r="P241" s="22" t="str">
        <x:v>Cobrança realizada</x:v>
      </x:c>
      <x:c r="Q241" s="22" t="str">
        <x:v>Cobrança: 11 96221-1000 e e-mail - 24/08</x:v>
      </x:c>
    </x:row>
    <x:row r="242">
      <x:c r="A242" s="22" t="str">
        <x:v>Dani</x:v>
      </x:c>
      <x:c r="B242" s="22" t="n">
        <x:v>72</x:v>
      </x:c>
      <x:c r="C242" s="38" t="n">
        <x:v>46254</x:v>
      </x:c>
      <x:c r="D242" s="22" t="str">
        <x:v>BBZ</x:v>
      </x:c>
      <x:c r="E242" s="22" t="n">
        <x:v>4</x:v>
      </x:c>
      <x:c r="F242" s="22" t="n">
        <x:v>728</x:v>
      </x:c>
      <x:c r="G242" s="22" t="str">
        <x:v>CONDOMINIO WEST SIDE - SANTO AMARO</x:v>
      </x:c>
      <x:c r="H242" s="22" t="str">
        <x:v>CONDOMÍNIO WEST SIDE</x:v>
      </x:c>
      <x:c r="I242" s="22" t="str">
        <x:v>Provável</x:v>
      </x:c>
      <x:c r="J242" s="22" t="str">
        <x:v>ativo</x:v>
      </x:c>
      <x:c r="K242" s="39" t="str">
        <x:v>41.502.011/0001-57</x:v>
      </x:c>
      <x:c r="L242" s="39" t="str">
        <x:v>11</x:v>
      </x:c>
      <x:c r="M242" s="39" t="str">
        <x:v>0</x:v>
      </x:c>
      <x:c r="N242" s="38" t="str">
        <x:v>05/07/2026</x:v>
      </x:c>
      <x:c r="O242" s="40" t="n">
        <x:v>1938.17</x:v>
      </x:c>
      <x:c r="P242" s="22" t="str">
        <x:v>Sem contato</x:v>
      </x:c>
      <x:c r="Q242" s="22" t="str">
        <x:v>Achar ctt | Cobrança: E-mail - 24/08</x:v>
      </x:c>
    </x:row>
    <x:row r="243">
      <x:c r="A243" s="22" t="str">
        <x:v>Dani</x:v>
      </x:c>
      <x:c r="B243" s="22" t="n">
        <x:v>73</x:v>
      </x:c>
      <x:c r="C243" s="38" t="n">
        <x:v>46254</x:v>
      </x:c>
      <x:c r="D243" s="22" t="str">
        <x:v>LELLO</x:v>
      </x:c>
      <x:c r="E243" s="22" t="n">
        <x:v>4</x:v>
      </x:c>
      <x:c r="F243" s="22" t="n">
        <x:v>3839</x:v>
      </x:c>
      <x:c r="G243" s="22" t="str">
        <x:v>CONDOMÍNIO SOLAR DOS BANDEIRANTES</x:v>
      </x:c>
      <x:c r="H243" s="22" t="str">
        <x:v>CONDOMÍNIO SOLAR DOS BANDEIRANTES</x:v>
      </x:c>
      <x:c r="I243" s="22" t="str">
        <x:v>Confirmado</x:v>
      </x:c>
      <x:c r="J243" s="22" t="str">
        <x:v>ativo</x:v>
      </x:c>
      <x:c r="K243" s="39" t="str">
        <x:v>55.294.375/0001-01</x:v>
      </x:c>
      <x:c r="L243" s="39" t="str">
        <x:v>132</x:v>
      </x:c>
      <x:c r="M243" s="39" t="str">
        <x:v>0</x:v>
      </x:c>
      <x:c r="N243" s="38" t="str">
        <x:v>08/08/2026</x:v>
      </x:c>
      <x:c r="O243" s="40" t="n">
        <x:v>1339.15</x:v>
      </x:c>
      <x:c r="P243" s="22" t="str">
        <x:v>Com acordo</x:v>
      </x:c>
      <x:c r="Q243" s="22" t="str">
        <x:v>MANUAL | Acordo administrativo</x:v>
      </x:c>
    </x:row>
    <x:row r="244">
      <x:c r="A244" s="22" t="str">
        <x:v>Dani</x:v>
      </x:c>
      <x:c r="B244" s="22" t="n">
        <x:v>74</x:v>
      </x:c>
      <x:c r="C244" s="38" t="n">
        <x:v>46254</x:v>
      </x:c>
      <x:c r="D244" s="22" t="str">
        <x:v>LELLO</x:v>
      </x:c>
      <x:c r="E244" s="22" t="n">
        <x:v>4</x:v>
      </x:c>
      <x:c r="F244" s="22" t="n">
        <x:v>3839</x:v>
      </x:c>
      <x:c r="G244" s="22" t="str">
        <x:v>CONDOMÍNIO SOLAR DOS BANDEIRANTES</x:v>
      </x:c>
      <x:c r="H244" s="22" t="str">
        <x:v>CONDOMÍNIO SOLAR DOS BANDEIRANTES</x:v>
      </x:c>
      <x:c r="I244" s="22" t="str">
        <x:v>Confirmado</x:v>
      </x:c>
      <x:c r="J244" s="22" t="str">
        <x:v>ativo</x:v>
      </x:c>
      <x:c r="K244" s="39" t="str">
        <x:v>55.294.375/0001-01</x:v>
      </x:c>
      <x:c r="L244" s="39" t="str">
        <x:v>134</x:v>
      </x:c>
      <x:c r="M244" s="39" t="str">
        <x:v>0</x:v>
      </x:c>
      <x:c r="N244" s="38" t="str">
        <x:v>08/08/2026</x:v>
      </x:c>
      <x:c r="O244" s="40" t="n">
        <x:v>1339.15</x:v>
      </x:c>
      <x:c r="P244" s="22" t="str">
        <x:v>Sem andamento registrado</x:v>
      </x:c>
      <x:c r="Q244" s="22" t="str">
        <x:v>MANUAL | Cobança: 11 94037-6552 - 20/08 | Cobança: 11 94037-6552 - 24/08</x:v>
      </x:c>
    </x:row>
    <x:row r="245">
      <x:c r="A245" s="22" t="str">
        <x:v>Dani</x:v>
      </x:c>
      <x:c r="B245" s="22" t="n">
        <x:v>75</x:v>
      </x:c>
      <x:c r="C245" s="38" t="n">
        <x:v>46254</x:v>
      </x:c>
      <x:c r="D245" s="22" t="str">
        <x:v>OMA</x:v>
      </x:c>
      <x:c r="E245" s="22" t="n">
        <x:v>4</x:v>
      </x:c>
      <x:c r="F245" s="22" t="n">
        <x:v>111</x:v>
      </x:c>
      <x:c r="G245" s="22" t="str">
        <x:v>CONDOMÍNIO CYRELA ATMOSFERA 360 SUBCONDOMÍNIO 2</x:v>
      </x:c>
      <x:c r="H245" s="22" t="str">
        <x:v>CYRELA ATMOSFERA 360 SUBCONDOMÍNIO 2</x:v>
      </x:c>
      <x:c r="I245" s="22" t="str">
        <x:v>Confirmado</x:v>
      </x:c>
      <x:c r="J245" s="22" t="str">
        <x:v>ativo</x:v>
      </x:c>
      <x:c r="K245" s="39" t="str">
        <x:v>57.637.536/0004-82</x:v>
      </x:c>
      <x:c r="L245" s="39" t="str">
        <x:v>R01706</x:v>
      </x:c>
      <x:c r="M245" s="39" t="str">
        <x:v>S</x:v>
      </x:c>
      <x:c r="N245" s="38" t="str">
        <x:v>10/06/2026</x:v>
      </x:c>
      <x:c r="O245" s="40" t="n">
        <x:v>441.55</x:v>
      </x:c>
      <x:c r="P245" s="22" t="str">
        <x:v>Cobrança realizada</x:v>
      </x:c>
      <x:c r="Q245" s="22" t="str">
        <x:v>Cobrança:  61 9877-5045 e e-mail - 20/08</x:v>
      </x:c>
    </x:row>
    <x:row r="246">
      <x:c r="A246" s="22" t="str">
        <x:v>Dani</x:v>
      </x:c>
      <x:c r="B246" s="22" t="n">
        <x:v>76</x:v>
      </x:c>
      <x:c r="C246" s="38" t="n">
        <x:v>46254</x:v>
      </x:c>
      <x:c r="D246" s="22" t="str">
        <x:v>OMA</x:v>
      </x:c>
      <x:c r="E246" s="22" t="n">
        <x:v>4</x:v>
      </x:c>
      <x:c r="F246" s="22" t="n">
        <x:v>111</x:v>
      </x:c>
      <x:c r="G246" s="22" t="str">
        <x:v>CONDOMÍNIO CYRELA ATMOSFERA 360 SUBCONDOMÍNIO 2</x:v>
      </x:c>
      <x:c r="H246" s="22" t="str">
        <x:v>CYRELA ATMOSFERA 360 SUBCONDOMÍNIO 2</x:v>
      </x:c>
      <x:c r="I246" s="22" t="str">
        <x:v>Confirmado</x:v>
      </x:c>
      <x:c r="J246" s="22" t="str">
        <x:v>ativo</x:v>
      </x:c>
      <x:c r="K246" s="39" t="str">
        <x:v>57.637.536/0004-82</x:v>
      </x:c>
      <x:c r="L246" s="39" t="str">
        <x:v>R01708</x:v>
      </x:c>
      <x:c r="M246" s="39" t="str">
        <x:v>S</x:v>
      </x:c>
      <x:c r="N246" s="38" t="str">
        <x:v>10/06/2026</x:v>
      </x:c>
      <x:c r="O246" s="40" t="n">
        <x:v>596.27</x:v>
      </x:c>
      <x:c r="P246" s="22" t="str">
        <x:v>Cobrança realizada</x:v>
      </x:c>
      <x:c r="Q246" s="22" t="str">
        <x:v>Cobrança:  61 9877-5045 e e-mail - 20/08</x:v>
      </x:c>
    </x:row>
    <x:row r="247">
      <x:c r="A247" s="22" t="str">
        <x:v>Dani</x:v>
      </x:c>
      <x:c r="B247" s="22" t="n">
        <x:v>77</x:v>
      </x:c>
      <x:c r="C247" s="38" t="n">
        <x:v>46255</x:v>
      </x:c>
      <x:c r="D247" s="22" t="str">
        <x:v>MANAGER</x:v>
      </x:c>
      <x:c r="E247" s="22" t="n">
        <x:v>5</x:v>
      </x:c>
      <x:c r="F247" s="22" t="n">
        <x:v>567</x:v>
      </x:c>
      <x:c r="G247" s="22" t="str">
        <x:v>CONDOMÍNIO VILLA LOBOS OFFICE PARK</x:v>
      </x:c>
      <x:c r="H247" s="22" t="str">
        <x:v>CONDOMÍNIO VILLA LOBOS OFFICE PARK</x:v>
      </x:c>
      <x:c r="I247" s="22" t="str">
        <x:v>Confirmado</x:v>
      </x:c>
      <x:c r="J247" s="22" t="str">
        <x:v>ativo</x:v>
      </x:c>
      <x:c r="K247" s="39" t="str">
        <x:v>13.190.286/0001-67</x:v>
      </x:c>
      <x:c r="L247" s="39" t="str">
        <x:v>CE0029</x:v>
      </x:c>
      <x:c r="M247" s="39" t="str">
        <x:v>0</x:v>
      </x:c>
      <x:c r="N247" s="38" t="str">
        <x:v>25/06/2026</x:v>
      </x:c>
      <x:c r="O247" s="40" t="n">
        <x:v>1119.3</x:v>
      </x:c>
      <x:c r="P247" s="22" t="str">
        <x:v>Cobrança realizada</x:v>
      </x:c>
      <x:c r="Q247" s="22" t="str">
        <x:v>Esperar o contrato para iniciar a cobrança manual  - aguardar Edi dar ok</x:v>
      </x:c>
    </x:row>
    <x:row r="248">
      <x:c r="A248" s="22" t="str">
        <x:v>Dani</x:v>
      </x:c>
      <x:c r="B248" s="22" t="n">
        <x:v>78</x:v>
      </x:c>
      <x:c r="C248" s="38" t="n">
        <x:v>46255</x:v>
      </x:c>
      <x:c r="D248" s="22" t="str">
        <x:v>MANAGER</x:v>
      </x:c>
      <x:c r="E248" s="22" t="n">
        <x:v>5</x:v>
      </x:c>
      <x:c r="F248" s="22" t="n">
        <x:v>567</x:v>
      </x:c>
      <x:c r="G248" s="22" t="str">
        <x:v>CONDOMÍNIO VILLA LOBOS OFFICE PARK</x:v>
      </x:c>
      <x:c r="H248" s="22" t="str">
        <x:v>CONDOMÍNIO VILLA LOBOS OFFICE PARK</x:v>
      </x:c>
      <x:c r="I248" s="22" t="str">
        <x:v>Confirmado</x:v>
      </x:c>
      <x:c r="J248" s="22" t="str">
        <x:v>ativo</x:v>
      </x:c>
      <x:c r="K248" s="39" t="str">
        <x:v>13.190.286/0001-67</x:v>
      </x:c>
      <x:c r="L248" s="39" t="str">
        <x:v>000507</x:v>
      </x:c>
      <x:c r="M248" s="39" t="str">
        <x:v>B</x:v>
      </x:c>
      <x:c r="N248" s="38" t="str">
        <x:v>05/06/2026</x:v>
      </x:c>
      <x:c r="O248" s="40" t="n">
        <x:v>813.74</x:v>
      </x:c>
      <x:c r="P248" s="22" t="str">
        <x:v>Sem andamento registrado</x:v>
      </x:c>
      <x:c r="Q248" s="22" t="str"/>
    </x:row>
    <x:row r="249">
      <x:c r="A249" s="22" t="str">
        <x:v>Dani</x:v>
      </x:c>
      <x:c r="B249" s="22" t="n">
        <x:v>79</x:v>
      </x:c>
      <x:c r="C249" s="38" t="n">
        <x:v>46255</x:v>
      </x:c>
      <x:c r="D249" s="22" t="str">
        <x:v>MANAGER</x:v>
      </x:c>
      <x:c r="E249" s="22" t="n">
        <x:v>5</x:v>
      </x:c>
      <x:c r="F249" s="22" t="n">
        <x:v>567</x:v>
      </x:c>
      <x:c r="G249" s="22" t="str">
        <x:v>CONDOMÍNIO VILLA LOBOS OFFICE PARK</x:v>
      </x:c>
      <x:c r="H249" s="22" t="str">
        <x:v>CONDOMÍNIO VILLA LOBOS OFFICE PARK</x:v>
      </x:c>
      <x:c r="I249" s="22" t="str">
        <x:v>Confirmado</x:v>
      </x:c>
      <x:c r="J249" s="22" t="str">
        <x:v>ativo</x:v>
      </x:c>
      <x:c r="K249" s="39" t="str">
        <x:v>13.190.286/0001-67</x:v>
      </x:c>
      <x:c r="L249" s="39" t="str">
        <x:v>000307</x:v>
      </x:c>
      <x:c r="M249" s="39" t="str">
        <x:v>BUSS</x:v>
      </x:c>
      <x:c r="N249" s="38" t="str">
        <x:v>25/06/2026</x:v>
      </x:c>
      <x:c r="O249" s="40" t="n">
        <x:v>5297.61</x:v>
      </x:c>
      <x:c r="P249" s="22" t="str">
        <x:v>Cobrança realizada</x:v>
      </x:c>
      <x:c r="Q249" s="22" t="str">
        <x:v>Esperar o contrato para iniciar a cobrança manual  - aguardar Edi dar ok</x:v>
      </x:c>
    </x:row>
    <x:row r="250">
      <x:c r="A250" s="22" t="str">
        <x:v>Dani</x:v>
      </x:c>
      <x:c r="B250" s="22" t="n">
        <x:v>80</x:v>
      </x:c>
      <x:c r="C250" s="38" t="n">
        <x:v>46255</x:v>
      </x:c>
      <x:c r="D250" s="22" t="str">
        <x:v>MANAGER</x:v>
      </x:c>
      <x:c r="E250" s="22" t="n">
        <x:v>5</x:v>
      </x:c>
      <x:c r="F250" s="22" t="n">
        <x:v>567</x:v>
      </x:c>
      <x:c r="G250" s="22" t="str">
        <x:v>CONDOMÍNIO VILLA LOBOS OFFICE PARK</x:v>
      </x:c>
      <x:c r="H250" s="22" t="str">
        <x:v>CONDOMÍNIO VILLA LOBOS OFFICE PARK</x:v>
      </x:c>
      <x:c r="I250" s="22" t="str">
        <x:v>Confirmado</x:v>
      </x:c>
      <x:c r="J250" s="22" t="str">
        <x:v>ativo</x:v>
      </x:c>
      <x:c r="K250" s="39" t="str">
        <x:v>13.190.286/0001-67</x:v>
      </x:c>
      <x:c r="L250" s="39" t="str">
        <x:v>000379</x:v>
      </x:c>
      <x:c r="M250" s="39" t="str">
        <x:v>BUSS</x:v>
      </x:c>
      <x:c r="N250" s="38" t="str">
        <x:v>25/06/2026</x:v>
      </x:c>
      <x:c r="O250" s="40" t="n">
        <x:v>268.42</x:v>
      </x:c>
      <x:c r="P250" s="22" t="str">
        <x:v>Cobrança realizada</x:v>
      </x:c>
      <x:c r="Q250" s="22" t="str">
        <x:v>Esperar o contrato para iniciar a cobrança manual  - aguardar Edi dar ok</x:v>
      </x:c>
    </x:row>
    <x:row r="251">
      <x:c r="A251" s="22" t="str">
        <x:v>Dani</x:v>
      </x:c>
      <x:c r="B251" s="22" t="n">
        <x:v>81</x:v>
      </x:c>
      <x:c r="C251" s="38" t="n">
        <x:v>46255</x:v>
      </x:c>
      <x:c r="D251" s="22" t="str">
        <x:v>MANAGER</x:v>
      </x:c>
      <x:c r="E251" s="22" t="n">
        <x:v>5</x:v>
      </x:c>
      <x:c r="F251" s="22" t="n">
        <x:v>567</x:v>
      </x:c>
      <x:c r="G251" s="22" t="str">
        <x:v>CONDOMÍNIO VILLA LOBOS OFFICE PARK</x:v>
      </x:c>
      <x:c r="H251" s="22" t="str">
        <x:v>CONDOMÍNIO VILLA LOBOS OFFICE PARK</x:v>
      </x:c>
      <x:c r="I251" s="22" t="str">
        <x:v>Confirmado</x:v>
      </x:c>
      <x:c r="J251" s="22" t="str">
        <x:v>ativo</x:v>
      </x:c>
      <x:c r="K251" s="39" t="str">
        <x:v>13.190.286/0001-67</x:v>
      </x:c>
      <x:c r="L251" s="39" t="str">
        <x:v>000110</x:v>
      </x:c>
      <x:c r="M251" s="39" t="str">
        <x:v>C</x:v>
      </x:c>
      <x:c r="N251" s="38" t="str">
        <x:v>05/06/2026</x:v>
      </x:c>
      <x:c r="O251" s="40" t="n">
        <x:v>852.01</x:v>
      </x:c>
      <x:c r="P251" s="22" t="str">
        <x:v>Sem andamento registrado</x:v>
      </x:c>
      <x:c r="Q251" s="22" t="str"/>
    </x:row>
    <x:row r="252">
      <x:c r="A252" s="22" t="str">
        <x:v>Dani</x:v>
      </x:c>
      <x:c r="B252" s="22" t="n">
        <x:v>82</x:v>
      </x:c>
      <x:c r="C252" s="38" t="n">
        <x:v>46255</x:v>
      </x:c>
      <x:c r="D252" s="22" t="str">
        <x:v>MANAGER</x:v>
      </x:c>
      <x:c r="E252" s="22" t="n">
        <x:v>5</x:v>
      </x:c>
      <x:c r="F252" s="22" t="n">
        <x:v>567</x:v>
      </x:c>
      <x:c r="G252" s="22" t="str">
        <x:v>CONDOMÍNIO VILLA LOBOS OFFICE PARK</x:v>
      </x:c>
      <x:c r="H252" s="22" t="str">
        <x:v>CONDOMÍNIO VILLA LOBOS OFFICE PARK</x:v>
      </x:c>
      <x:c r="I252" s="22" t="str">
        <x:v>Confirmado</x:v>
      </x:c>
      <x:c r="J252" s="22" t="str">
        <x:v>ativo</x:v>
      </x:c>
      <x:c r="K252" s="39" t="str">
        <x:v>13.190.286/0001-67</x:v>
      </x:c>
      <x:c r="L252" s="39" t="str">
        <x:v>000509</x:v>
      </x:c>
      <x:c r="M252" s="39" t="str">
        <x:v>C</x:v>
      </x:c>
      <x:c r="N252" s="38" t="str">
        <x:v>05/06/2026</x:v>
      </x:c>
      <x:c r="O252" s="40" t="n">
        <x:v>852.01</x:v>
      </x:c>
      <x:c r="P252" s="22" t="str">
        <x:v>Sem andamento registrado</x:v>
      </x:c>
      <x:c r="Q252" s="22" t="str"/>
    </x:row>
    <x:row r="253">
      <x:c r="A253" s="22" t="str">
        <x:v>Dani</x:v>
      </x:c>
      <x:c r="B253" s="22" t="n">
        <x:v>83</x:v>
      </x:c>
      <x:c r="C253" s="38" t="n">
        <x:v>46255</x:v>
      </x:c>
      <x:c r="D253" s="22" t="str">
        <x:v>MANAGER</x:v>
      </x:c>
      <x:c r="E253" s="22" t="n">
        <x:v>5</x:v>
      </x:c>
      <x:c r="F253" s="22" t="n">
        <x:v>567</x:v>
      </x:c>
      <x:c r="G253" s="22" t="str">
        <x:v>CONDOMÍNIO VILLA LOBOS OFFICE PARK</x:v>
      </x:c>
      <x:c r="H253" s="22" t="str">
        <x:v>CONDOMÍNIO VILLA LOBOS OFFICE PARK</x:v>
      </x:c>
      <x:c r="I253" s="22" t="str">
        <x:v>Confirmado</x:v>
      </x:c>
      <x:c r="J253" s="22" t="str">
        <x:v>ativo</x:v>
      </x:c>
      <x:c r="K253" s="39" t="str">
        <x:v>13.190.286/0001-67</x:v>
      </x:c>
      <x:c r="L253" s="39" t="str">
        <x:v>000406</x:v>
      </x:c>
      <x:c r="M253" s="39" t="str">
        <x:v>D</x:v>
      </x:c>
      <x:c r="N253" s="38" t="str">
        <x:v>05/06/2026</x:v>
      </x:c>
      <x:c r="O253" s="40" t="n">
        <x:v>1053.03</x:v>
      </x:c>
      <x:c r="P253" s="22" t="str">
        <x:v>Cobrança realizada</x:v>
      </x:c>
      <x:c r="Q253" s="22" t="str">
        <x:v>Cobrança: 11 99866-1585 e e-mail - 24/08</x:v>
      </x:c>
    </x:row>
    <x:row r="254">
      <x:c r="A254" s="22" t="str">
        <x:v>Dani</x:v>
      </x:c>
      <x:c r="B254" s="22" t="n">
        <x:v>84</x:v>
      </x:c>
      <x:c r="C254" s="38" t="n">
        <x:v>46255</x:v>
      </x:c>
      <x:c r="D254" s="22" t="str">
        <x:v>MANAGER</x:v>
      </x:c>
      <x:c r="E254" s="22" t="n">
        <x:v>5</x:v>
      </x:c>
      <x:c r="F254" s="22" t="n">
        <x:v>567</x:v>
      </x:c>
      <x:c r="G254" s="22" t="str">
        <x:v>CONDOMÍNIO VILLA LOBOS OFFICE PARK</x:v>
      </x:c>
      <x:c r="H254" s="22" t="str">
        <x:v>CONDOMÍNIO VILLA LOBOS OFFICE PARK</x:v>
      </x:c>
      <x:c r="I254" s="22" t="str">
        <x:v>Confirmado</x:v>
      </x:c>
      <x:c r="J254" s="22" t="str">
        <x:v>ativo</x:v>
      </x:c>
      <x:c r="K254" s="39" t="str">
        <x:v>13.190.286/0001-67</x:v>
      </x:c>
      <x:c r="L254" s="39" t="str">
        <x:v>000402</x:v>
      </x:c>
      <x:c r="M254" s="39" t="str">
        <x:v>E</x:v>
      </x:c>
      <x:c r="N254" s="38" t="str">
        <x:v>05/06/2026</x:v>
      </x:c>
      <x:c r="O254" s="40" t="n">
        <x:v>816.09</x:v>
      </x:c>
      <x:c r="P254" s="22" t="str">
        <x:v>Com acordo</x:v>
      </x:c>
      <x:c r="Q254" s="22" t="str">
        <x:v>Ctt:11 94700-3852 | Acordo com venc 26/08</x:v>
      </x:c>
    </x:row>
    <x:row r="255">
      <x:c r="A255" s="22" t="str">
        <x:v>Dani</x:v>
      </x:c>
      <x:c r="B255" s="22" t="n">
        <x:v>85</x:v>
      </x:c>
      <x:c r="C255" s="38" t="n">
        <x:v>46259</x:v>
      </x:c>
      <x:c r="D255" s="22" t="str">
        <x:v>MANAGER</x:v>
      </x:c>
      <x:c r="E255" s="22" t="n">
        <x:v>6</x:v>
      </x:c>
      <x:c r="F255" s="22" t="n">
        <x:v>656</x:v>
      </x:c>
      <x:c r="G255" s="22" t="str">
        <x:v>CONDOMÍNIO CÁDIZ JARDIM PRUDÊNCIA</x:v>
      </x:c>
      <x:c r="H255" s="22" t="str">
        <x:v>CONDOMÍNIO CÁDIZ JARDIM PRUDÊNCIA</x:v>
      </x:c>
      <x:c r="I255" s="22" t="str">
        <x:v>Confirmado</x:v>
      </x:c>
      <x:c r="J255" s="22" t="str">
        <x:v>ativo</x:v>
      </x:c>
      <x:c r="K255" s="39" t="str">
        <x:v>47.908.154/0001-40</x:v>
      </x:c>
      <x:c r="L255" s="39" t="str">
        <x:v>1306</x:v>
      </x:c>
      <x:c r="M255" s="39" t="str">
        <x:v>0</x:v>
      </x:c>
      <x:c r="N255" s="38" t="n">
        <x:v>46208</x:v>
      </x:c>
      <x:c r="O255" s="40" t="n">
        <x:v>702.09</x:v>
      </x:c>
      <x:c r="P255" s="22" t="str">
        <x:v>Sem andamento registrado</x:v>
      </x:c>
      <x:c r="Q255" s="22" t="str"/>
    </x:row>
    <x:row r="256">
      <x:c r="A256" s="22" t="str">
        <x:v>Dani</x:v>
      </x:c>
      <x:c r="B256" s="22" t="n">
        <x:v>86</x:v>
      </x:c>
      <x:c r="C256" s="38" t="n">
        <x:v>46259</x:v>
      </x:c>
      <x:c r="D256" s="22" t="str">
        <x:v>MANAGER</x:v>
      </x:c>
      <x:c r="E256" s="22" t="n">
        <x:v>6</x:v>
      </x:c>
      <x:c r="F256" s="22" t="n">
        <x:v>656</x:v>
      </x:c>
      <x:c r="G256" s="22" t="str">
        <x:v>CONDOMÍNIO CÁDIZ JARDIM PRUDÊNCIA</x:v>
      </x:c>
      <x:c r="H256" s="22" t="str">
        <x:v>CONDOMÍNIO CÁDIZ JARDIM PRUDÊNCIA</x:v>
      </x:c>
      <x:c r="I256" s="22" t="str">
        <x:v>Confirmado</x:v>
      </x:c>
      <x:c r="J256" s="22" t="str">
        <x:v>ativo</x:v>
      </x:c>
      <x:c r="K256" s="39" t="str">
        <x:v>47.908.154/0001-40</x:v>
      </x:c>
      <x:c r="L256" s="39" t="str">
        <x:v>1601</x:v>
      </x:c>
      <x:c r="M256" s="39" t="str">
        <x:v>0</x:v>
      </x:c>
      <x:c r="N256" s="38" t="n">
        <x:v>46208</x:v>
      </x:c>
      <x:c r="O256" s="40" t="n">
        <x:v>779.11</x:v>
      </x:c>
      <x:c r="P256" s="22" t="str">
        <x:v>Sem andamento registrado</x:v>
      </x:c>
      <x:c r="Q256" s="22" t="str"/>
    </x:row>
    <x:row r="257">
      <x:c r="A257" s="22" t="str">
        <x:v>Dani</x:v>
      </x:c>
      <x:c r="B257" s="22" t="n">
        <x:v>87</x:v>
      </x:c>
      <x:c r="C257" s="38" t="n">
        <x:v>46259</x:v>
      </x:c>
      <x:c r="D257" s="22" t="str">
        <x:v>MANAGER</x:v>
      </x:c>
      <x:c r="E257" s="22" t="n">
        <x:v>6</x:v>
      </x:c>
      <x:c r="F257" s="22" t="n">
        <x:v>656</x:v>
      </x:c>
      <x:c r="G257" s="22" t="str">
        <x:v>CONDOMÍNIO CÁDIZ JARDIM PRUDÊNCIA</x:v>
      </x:c>
      <x:c r="H257" s="22" t="str">
        <x:v>CONDOMÍNIO CÁDIZ JARDIM PRUDÊNCIA</x:v>
      </x:c>
      <x:c r="I257" s="22" t="str">
        <x:v>Confirmado</x:v>
      </x:c>
      <x:c r="J257" s="22" t="str">
        <x:v>ativo</x:v>
      </x:c>
      <x:c r="K257" s="39" t="str">
        <x:v>47.908.154/0001-40</x:v>
      </x:c>
      <x:c r="L257" s="39" t="str">
        <x:v>2103</x:v>
      </x:c>
      <x:c r="M257" s="39" t="str">
        <x:v>0</x:v>
      </x:c>
      <x:c r="N257" s="38" t="n">
        <x:v>46208</x:v>
      </x:c>
      <x:c r="O257" s="40" t="n">
        <x:v>779.11</x:v>
      </x:c>
      <x:c r="P257" s="22" t="str">
        <x:v>Sem andamento registrado</x:v>
      </x:c>
      <x:c r="Q257" s="22" t="str"/>
    </x:row>
    <x:row r="258">
      <x:c r="A258" s="22" t="str">
        <x:v>Dani</x:v>
      </x:c>
      <x:c r="B258" s="22" t="n">
        <x:v>88</x:v>
      </x:c>
      <x:c r="C258" s="38" t="n">
        <x:v>46259</x:v>
      </x:c>
      <x:c r="D258" s="22" t="str">
        <x:v>MANAGER</x:v>
      </x:c>
      <x:c r="E258" s="22" t="n">
        <x:v>6</x:v>
      </x:c>
      <x:c r="F258" s="22" t="n">
        <x:v>656</x:v>
      </x:c>
      <x:c r="G258" s="22" t="str">
        <x:v>CONDOMÍNIO CÁDIZ JARDIM PRUDÊNCIA</x:v>
      </x:c>
      <x:c r="H258" s="22" t="str">
        <x:v>CONDOMÍNIO CÁDIZ JARDIM PRUDÊNCIA</x:v>
      </x:c>
      <x:c r="I258" s="22" t="str">
        <x:v>Confirmado</x:v>
      </x:c>
      <x:c r="J258" s="22" t="str">
        <x:v>ativo</x:v>
      </x:c>
      <x:c r="K258" s="39" t="str">
        <x:v>47.908.154/0001-40</x:v>
      </x:c>
      <x:c r="L258" s="39" t="str">
        <x:v>2113</x:v>
      </x:c>
      <x:c r="M258" s="39" t="str">
        <x:v>0</x:v>
      </x:c>
      <x:c r="N258" s="38" t="n">
        <x:v>46208</x:v>
      </x:c>
      <x:c r="O258" s="40" t="n">
        <x:v>792.3</x:v>
      </x:c>
      <x:c r="P258" s="22" t="str">
        <x:v>Sem andamento registrado</x:v>
      </x:c>
      <x:c r="Q258" s="22" t="str"/>
    </x:row>
    <x:row r="259">
      <x:c r="A259" s="22" t="str">
        <x:v>Dani</x:v>
      </x:c>
      <x:c r="B259" s="22" t="n">
        <x:v>89</x:v>
      </x:c>
      <x:c r="C259" s="38" t="n">
        <x:v>46259</x:v>
      </x:c>
      <x:c r="D259" s="22" t="str">
        <x:v>MANAGER</x:v>
      </x:c>
      <x:c r="E259" s="22" t="n">
        <x:v>6</x:v>
      </x:c>
      <x:c r="F259" s="22" t="n">
        <x:v>656</x:v>
      </x:c>
      <x:c r="G259" s="22" t="str">
        <x:v>CONDOMÍNIO CÁDIZ JARDIM PRUDÊNCIA</x:v>
      </x:c>
      <x:c r="H259" s="22" t="str">
        <x:v>CONDOMÍNIO CÁDIZ JARDIM PRUDÊNCIA</x:v>
      </x:c>
      <x:c r="I259" s="22" t="str">
        <x:v>Confirmado</x:v>
      </x:c>
      <x:c r="J259" s="22" t="str">
        <x:v>ativo</x:v>
      </x:c>
      <x:c r="K259" s="39" t="str">
        <x:v>47.908.154/0001-40</x:v>
      </x:c>
      <x:c r="L259" s="39" t="str">
        <x:v>2302</x:v>
      </x:c>
      <x:c r="M259" s="39" t="str">
        <x:v>0</x:v>
      </x:c>
      <x:c r="N259" s="38" t="n">
        <x:v>46208</x:v>
      </x:c>
      <x:c r="O259" s="40" t="n">
        <x:v>792.3</x:v>
      </x:c>
      <x:c r="P259" s="22" t="str">
        <x:v>Sem andamento registrado</x:v>
      </x:c>
      <x:c r="Q259" s="22" t="str"/>
    </x:row>
    <x:row r="260">
      <x:c r="A260" s="22" t="str">
        <x:v>Dani</x:v>
      </x:c>
      <x:c r="B260" s="22" t="n">
        <x:v>90</x:v>
      </x:c>
      <x:c r="C260" s="38" t="n">
        <x:v>46259</x:v>
      </x:c>
      <x:c r="D260" s="22" t="str">
        <x:v>MANAGER</x:v>
      </x:c>
      <x:c r="E260" s="22" t="n">
        <x:v>6</x:v>
      </x:c>
      <x:c r="F260" s="22" t="n">
        <x:v>656</x:v>
      </x:c>
      <x:c r="G260" s="22" t="str">
        <x:v>CONDOMÍNIO CÁDIZ JARDIM PRUDÊNCIA</x:v>
      </x:c>
      <x:c r="H260" s="22" t="str">
        <x:v>CONDOMÍNIO CÁDIZ JARDIM PRUDÊNCIA</x:v>
      </x:c>
      <x:c r="I260" s="22" t="str">
        <x:v>Confirmado</x:v>
      </x:c>
      <x:c r="J260" s="22" t="str">
        <x:v>ativo</x:v>
      </x:c>
      <x:c r="K260" s="39" t="str">
        <x:v>47.908.154/0001-40</x:v>
      </x:c>
      <x:c r="L260" s="39" t="str">
        <x:v>2212</x:v>
      </x:c>
      <x:c r="M260" s="39" t="str">
        <x:v>0</x:v>
      </x:c>
      <x:c r="N260" s="38" t="n">
        <x:v>46117</x:v>
      </x:c>
      <x:c r="O260" s="40" t="n">
        <x:v>749.75</x:v>
      </x:c>
      <x:c r="P260" s="22" t="str">
        <x:v>Sem andamento registrado</x:v>
      </x:c>
      <x:c r="Q260" s="22" t="str"/>
    </x:row>
    <x:row r="261">
      <x:c r="A261" s="22" t="str">
        <x:v>Dani</x:v>
      </x:c>
      <x:c r="B261" s="22" t="n">
        <x:v>91</x:v>
      </x:c>
      <x:c r="C261" s="38" t="n">
        <x:v>46259</x:v>
      </x:c>
      <x:c r="D261" s="22" t="str">
        <x:v>Lello</x:v>
      </x:c>
      <x:c r="E261" s="22" t="n">
        <x:v>6</x:v>
      </x:c>
      <x:c r="F261" s="22" t="n">
        <x:v>1637</x:v>
      </x:c>
      <x:c r="G261" s="22" t="str">
        <x:v>CONDOMÍNIO RESIDENCIAL INSPIRE MAUÁ SONHOS</x:v>
      </x:c>
      <x:c r="H261" s="22" t="str">
        <x:v>CONDOMÍNIO RESIDENCIAL INSPIRE MAUÁ SONHOS</x:v>
      </x:c>
      <x:c r="I261" s="22" t="str">
        <x:v>Confirmado</x:v>
      </x:c>
      <x:c r="J261" s="22" t="str">
        <x:v>ativo</x:v>
      </x:c>
      <x:c r="K261" s="39" t="str">
        <x:v>33.294.498/0001-00</x:v>
      </x:c>
      <x:c r="L261" s="39" t="str">
        <x:v>103-01</x:v>
      </x:c>
      <x:c r="M261" s="39" t="str">
        <x:v>1</x:v>
      </x:c>
      <x:c r="N261" s="38" t="n">
        <x:v>46195</x:v>
      </x:c>
      <x:c r="O261" s="40" t="n">
        <x:v>457.66</x:v>
      </x:c>
      <x:c r="P261" s="22" t="str">
        <x:v>Sem andamento registrado</x:v>
      </x:c>
      <x:c r="Q261" s="22" t="str"/>
    </x:row>
    <x:row r="262">
      <x:c r="A262" s="22" t="str">
        <x:v>Dani</x:v>
      </x:c>
      <x:c r="B262" s="22" t="n">
        <x:v>92</x:v>
      </x:c>
      <x:c r="C262" s="38" t="n">
        <x:v>46259</x:v>
      </x:c>
      <x:c r="D262" s="22" t="str">
        <x:v>Lello</x:v>
      </x:c>
      <x:c r="E262" s="22" t="n">
        <x:v>6</x:v>
      </x:c>
      <x:c r="F262" s="22" t="n">
        <x:v>1637</x:v>
      </x:c>
      <x:c r="G262" s="22" t="str">
        <x:v>CONDOMÍNIO RESIDENCIAL INSPIRE MAUÁ SONHOS</x:v>
      </x:c>
      <x:c r="H262" s="22" t="str">
        <x:v>CONDOMÍNIO RESIDENCIAL INSPIRE MAUÁ SONHOS</x:v>
      </x:c>
      <x:c r="I262" s="22" t="str">
        <x:v>Confirmado</x:v>
      </x:c>
      <x:c r="J262" s="22" t="str">
        <x:v>ativo</x:v>
      </x:c>
      <x:c r="K262" s="39" t="str">
        <x:v>33.294.498/0001-00</x:v>
      </x:c>
      <x:c r="L262" s="39" t="str">
        <x:v>145-01</x:v>
      </x:c>
      <x:c r="M262" s="39" t="str">
        <x:v>1</x:v>
      </x:c>
      <x:c r="N262" s="38" t="n">
        <x:v>46195</x:v>
      </x:c>
      <x:c r="O262" s="40" t="n">
        <x:v>390.49</x:v>
      </x:c>
      <x:c r="P262" s="22" t="str">
        <x:v>Sem andamento registrado</x:v>
      </x:c>
      <x:c r="Q262" s="22" t="str"/>
    </x:row>
    <x:row r="263">
      <x:c r="A263" s="22" t="str">
        <x:v>Dani</x:v>
      </x:c>
      <x:c r="B263" s="22" t="n">
        <x:v>93</x:v>
      </x:c>
      <x:c r="C263" s="38" t="n">
        <x:v>46259</x:v>
      </x:c>
      <x:c r="D263" s="22" t="str">
        <x:v>Lello</x:v>
      </x:c>
      <x:c r="E263" s="22" t="n">
        <x:v>6</x:v>
      </x:c>
      <x:c r="F263" s="22" t="n">
        <x:v>1637</x:v>
      </x:c>
      <x:c r="G263" s="22" t="str">
        <x:v>CONDOMÍNIO RESIDENCIAL INSPIRE MAUÁ SONHOS</x:v>
      </x:c>
      <x:c r="H263" s="22" t="str">
        <x:v>CONDOMÍNIO RESIDENCIAL INSPIRE MAUÁ SONHOS</x:v>
      </x:c>
      <x:c r="I263" s="22" t="str">
        <x:v>Confirmado</x:v>
      </x:c>
      <x:c r="J263" s="22" t="str">
        <x:v>ativo</x:v>
      </x:c>
      <x:c r="K263" s="39" t="str">
        <x:v>33.294.498/0001-00</x:v>
      </x:c>
      <x:c r="L263" s="39" t="str">
        <x:v>27-03</x:v>
      </x:c>
      <x:c r="M263" s="39" t="str">
        <x:v>3</x:v>
      </x:c>
      <x:c r="N263" s="38" t="n">
        <x:v>46195</x:v>
      </x:c>
      <x:c r="O263" s="40" t="n">
        <x:v>547.06</x:v>
      </x:c>
      <x:c r="P263" s="22" t="str">
        <x:v>Sem andamento registrado</x:v>
      </x:c>
      <x:c r="Q263" s="22" t="str"/>
    </x:row>
    <x:row r="264">
      <x:c r="A264" s="22" t="str">
        <x:v>Dani</x:v>
      </x:c>
      <x:c r="B264" s="22" t="n">
        <x:v>94</x:v>
      </x:c>
      <x:c r="C264" s="38" t="n">
        <x:v>46259</x:v>
      </x:c>
      <x:c r="D264" s="22" t="str">
        <x:v>Lello</x:v>
      </x:c>
      <x:c r="E264" s="22" t="n">
        <x:v>6</x:v>
      </x:c>
      <x:c r="F264" s="22" t="n">
        <x:v>1637</x:v>
      </x:c>
      <x:c r="G264" s="22" t="str">
        <x:v>CONDOMÍNIO RESIDENCIAL INSPIRE MAUÁ SONHOS</x:v>
      </x:c>
      <x:c r="H264" s="22" t="str">
        <x:v>CONDOMÍNIO RESIDENCIAL INSPIRE MAUÁ SONHOS</x:v>
      </x:c>
      <x:c r="I264" s="22" t="str">
        <x:v>Confirmado</x:v>
      </x:c>
      <x:c r="J264" s="22" t="str">
        <x:v>ativo</x:v>
      </x:c>
      <x:c r="K264" s="39" t="str">
        <x:v>33.294.498/0001-00</x:v>
      </x:c>
      <x:c r="L264" s="39" t="str">
        <x:v>44-03</x:v>
      </x:c>
      <x:c r="M264" s="39" t="str">
        <x:v>3</x:v>
      </x:c>
      <x:c r="N264" s="38" t="n">
        <x:v>46038</x:v>
      </x:c>
      <x:c r="O264" s="40" t="n">
        <x:v>515.07</x:v>
      </x:c>
      <x:c r="P264" s="22" t="str">
        <x:v>Sem andamento registrado</x:v>
      </x:c>
      <x:c r="Q264" s="22" t="str"/>
    </x:row>
    <x:row r="265">
      <x:c r="A265" s="22" t="str">
        <x:v>Dani</x:v>
      </x:c>
      <x:c r="B265" s="22" t="n">
        <x:v>95</x:v>
      </x:c>
      <x:c r="C265" s="38" t="n">
        <x:v>46259</x:v>
      </x:c>
      <x:c r="D265" s="22" t="str">
        <x:v>Lello</x:v>
      </x:c>
      <x:c r="E265" s="22" t="n">
        <x:v>6</x:v>
      </x:c>
      <x:c r="F265" s="22" t="n">
        <x:v>1637</x:v>
      </x:c>
      <x:c r="G265" s="22" t="str">
        <x:v>CONDOMÍNIO RESIDENCIAL INSPIRE MAUÁ SONHOS</x:v>
      </x:c>
      <x:c r="H265" s="22" t="str">
        <x:v>CONDOMÍNIO RESIDENCIAL INSPIRE MAUÁ SONHOS</x:v>
      </x:c>
      <x:c r="I265" s="22" t="str">
        <x:v>Confirmado</x:v>
      </x:c>
      <x:c r="J265" s="22" t="str">
        <x:v>ativo</x:v>
      </x:c>
      <x:c r="K265" s="39" t="str">
        <x:v>33.294.498/0001-00</x:v>
      </x:c>
      <x:c r="L265" s="39" t="str">
        <x:v>91-03</x:v>
      </x:c>
      <x:c r="M265" s="39" t="str">
        <x:v>3</x:v>
      </x:c>
      <x:c r="N265" s="38" t="n">
        <x:v>46065</x:v>
      </x:c>
      <x:c r="O265" s="40" t="n">
        <x:v>368.95</x:v>
      </x:c>
      <x:c r="P265" s="22" t="str">
        <x:v>Sem andamento registrado</x:v>
      </x:c>
      <x:c r="Q265" s="22" t="str"/>
    </x:row>
  </x:sheetData>
  <x:conditionalFormatting sqref="I2:I265">
    <x:cfRule type="containsText" dxfId="0" priority="1" operator="containsText" text="Não localizado"/>
    <x:cfRule type="containsText" dxfId="1" priority="2" operator="containsText" text="Provável"/>
    <x:cfRule type="containsText" dxfId="2" priority="3" operator="containsText" text="Confirmado"/>
  </x:conditionalFormatting>
  <x:pageMargins left="0.7" right="0.7" top="0.75" bottom="0.75" header="0.3" footer="0.3"/>
  <x:tableParts count="1">
    <x:tablePart xmlns:r="http://schemas.openxmlformats.org/officeDocument/2006/relationships" r:id="R5d85a0314d2b4a5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28" hidden="0" customWidth="1"/>
  </x:cols>
  <x:sheetData>
    <x:row r="1">
      <x:c r="A1" s="41" t="str">
        <x:v>Condomínio no cronograma</x:v>
      </x:c>
      <x:c r="B1" s="41" t="str">
        <x:v>Condomínio no app</x:v>
      </x:c>
      <x:c r="C1" s="41" t="str">
        <x:v>Validação</x:v>
      </x:c>
      <x:c r="D1" s="41" t="str">
        <x:v>Status no app</x:v>
      </x:c>
      <x:c r="E1" s="41" t="str">
        <x:v>CNPJ no app</x:v>
      </x:c>
      <x:c r="F1" s="41" t="str">
        <x:v>Cobranças</x:v>
      </x:c>
      <x:c r="G1" s="41" t="str">
        <x:v>Valor total</x:v>
      </x:c>
      <x:c r="H1" s="41" t="str">
        <x:v>Arquivos de origem</x:v>
      </x:c>
    </x:row>
    <x:row r="2">
      <x:c r="A2" s="22" t="str">
        <x:v>CAMINHOS DA LAPA CONDOMÍNIO JERIVÁS</x:v>
      </x:c>
      <x:c r="B2" s="22" t="str">
        <x:v>CAMINHOS DA LAPA CONDOMÍNIO JERIVÁS</x:v>
      </x:c>
      <x:c r="C2" s="22" t="str">
        <x:v>Confirmado</x:v>
      </x:c>
      <x:c r="D2" s="22" t="str">
        <x:v>ativo</x:v>
      </x:c>
      <x:c r="E2" s="39" t="str">
        <x:v>41.238.935/0001-98</x:v>
      </x:c>
      <x:c r="F2" s="22" t="n">
        <x:v>5</x:v>
      </x:c>
      <x:c r="G2" s="40" t="n">
        <x:v>10737.33</x:v>
      </x:c>
      <x:c r="H2" s="22" t="str">
        <x:v>Camila</x:v>
      </x:c>
    </x:row>
    <x:row r="3">
      <x:c r="A3" s="22" t="str">
        <x:v>COND. BEM MOEMA - RESIDENCIAL</x:v>
      </x:c>
      <x:c r="B3" s="22" t="str">
        <x:v>CONDOMÍNIO BEM MOEMA - SETOR RESIDENCIAL</x:v>
      </x:c>
      <x:c r="C3" s="22" t="str">
        <x:v>Confirmado</x:v>
      </x:c>
      <x:c r="D3" s="22" t="str">
        <x:v>ativo</x:v>
      </x:c>
      <x:c r="E3" s="39" t="str">
        <x:v>63.819.144/0001-94</x:v>
      </x:c>
      <x:c r="F3" s="22" t="n">
        <x:v>2</x:v>
      </x:c>
      <x:c r="G3" s="40" t="n">
        <x:v>4112.34</x:v>
      </x:c>
      <x:c r="H3" s="22" t="str">
        <x:v>Cronograma geral</x:v>
      </x:c>
    </x:row>
    <x:row r="4">
      <x:c r="A4" s="22" t="str">
        <x:v>COND. BEM MOEMA - STUDIOS ...</x:v>
      </x:c>
      <x:c r="B4" s="22" t="str">
        <x:v>CONDOMÍNIO BEM MOEMA - SETOR STUDIOS</x:v>
      </x:c>
      <x:c r="C4" s="22" t="str">
        <x:v>Confirmado</x:v>
      </x:c>
      <x:c r="D4" s="22" t="str">
        <x:v>ativo</x:v>
      </x:c>
      <x:c r="E4" s="39" t="str">
        <x:v>63.819.144/0003-56</x:v>
      </x:c>
      <x:c r="F4" s="22" t="n">
        <x:v>1</x:v>
      </x:c>
      <x:c r="G4" s="40" t="n">
        <x:v>828.86</x:v>
      </x:c>
      <x:c r="H4" s="22" t="str">
        <x:v>Cronograma geral</x:v>
      </x:c>
    </x:row>
    <x:row r="5">
      <x:c r="A5" s="22" t="str">
        <x:v>COND. CO.NEXT LIBERDADE</x:v>
      </x:c>
      <x:c r="B5" s="22" t="str">
        <x:v>CONDOMÍNIO CO.NEXT LIBERDADE</x:v>
      </x:c>
      <x:c r="C5" s="22" t="str">
        <x:v>Confirmado</x:v>
      </x:c>
      <x:c r="D5" s="22" t="str">
        <x:v>ativo</x:v>
      </x:c>
      <x:c r="E5" s="39" t="str">
        <x:v>55.597.288/0001-15</x:v>
      </x:c>
      <x:c r="F5" s="22" t="n">
        <x:v>16</x:v>
      </x:c>
      <x:c r="G5" s="40" t="n">
        <x:v>11657.77</x:v>
      </x:c>
      <x:c r="H5" s="22" t="str">
        <x:v>Dani</x:v>
      </x:c>
    </x:row>
    <x:row r="6">
      <x:c r="A6" s="22" t="str">
        <x:v>CONDOMINIO  VIEW BUTANTÃ</x:v>
      </x:c>
      <x:c r="B6" s="22" t="str">
        <x:v>CONDOMÍNIO VIEW BUTANTÃ</x:v>
      </x:c>
      <x:c r="C6" s="22" t="str">
        <x:v>Confirmado</x:v>
      </x:c>
      <x:c r="D6" s="22" t="str">
        <x:v>ativo</x:v>
      </x:c>
      <x:c r="E6" s="39" t="str">
        <x:v>51.776.364/0001-07</x:v>
      </x:c>
      <x:c r="F6" s="22" t="n">
        <x:v>5</x:v>
      </x:c>
      <x:c r="G6" s="40" t="n">
        <x:v>4188.72</x:v>
      </x:c>
      <x:c r="H6" s="22" t="str">
        <x:v>Camila</x:v>
      </x:c>
    </x:row>
    <x:row r="7">
      <x:c r="A7" s="22" t="str">
        <x:v>CONDOMINIO ALIVE CLUBE BELEM</x:v>
      </x:c>
      <x:c r="B7" s="22" t="str">
        <x:v>ALIVE HOME CLUB BELEM</x:v>
      </x:c>
      <x:c r="C7" s="22" t="str">
        <x:v>Confirmado</x:v>
      </x:c>
      <x:c r="D7" s="22" t="str">
        <x:v>ativo</x:v>
      </x:c>
      <x:c r="E7" s="39" t="str">
        <x:v>59.383.451/0001-06</x:v>
      </x:c>
      <x:c r="F7" s="22" t="n">
        <x:v>1</x:v>
      </x:c>
      <x:c r="G7" s="40" t="n">
        <x:v>1206.15</x:v>
      </x:c>
      <x:c r="H7" s="22" t="str">
        <x:v>Camila</x:v>
      </x:c>
    </x:row>
    <x:row r="8">
      <x:c r="A8" s="22" t="str">
        <x:v>CONDOMINIO ALPHAVILLE TRES PRAIAS – RESIDENCIAL 3</x:v>
      </x:c>
      <x:c r="B8" s="22" t="str">
        <x:v>CONDOMÍNIO ALPHAVILLE TRES PRAIAS – RESIDENCIAL 3</x:v>
      </x:c>
      <x:c r="C8" s="22" t="str">
        <x:v>Confirmado</x:v>
      </x:c>
      <x:c r="D8" s="22" t="str">
        <x:v>ativo</x:v>
      </x:c>
      <x:c r="E8" s="39" t="str">
        <x:v>55.526.739/0001-23</x:v>
      </x:c>
      <x:c r="F8" s="22" t="n">
        <x:v>2</x:v>
      </x:c>
      <x:c r="G8" s="40" t="n">
        <x:v>3952.76</x:v>
      </x:c>
      <x:c r="H8" s="22" t="str">
        <x:v>Dani</x:v>
      </x:c>
    </x:row>
    <x:row r="9">
      <x:c r="A9" s="22" t="str">
        <x:v>CONDOMÍNIO AYLA MOEMA - RESIDENCIAL/ STUDIOS</x:v>
      </x:c>
      <x:c r="B9" s="22" t="str">
        <x:v>CONDOMÍNIO AYLA MOEMA - RESIDENCIAL/ STUDIOS</x:v>
      </x:c>
      <x:c r="C9" s="22" t="str">
        <x:v>Confirmado</x:v>
      </x:c>
      <x:c r="D9" s="22" t="str">
        <x:v>ativo</x:v>
      </x:c>
      <x:c r="E9" s="39" t="str">
        <x:v>46.936.326/0002-07</x:v>
      </x:c>
      <x:c r="F9" s="22" t="n">
        <x:v>1</x:v>
      </x:c>
      <x:c r="G9" s="40" t="n">
        <x:v>739.09</x:v>
      </x:c>
      <x:c r="H9" s="22" t="str">
        <x:v>Camila</x:v>
      </x:c>
    </x:row>
    <x:row r="10">
      <x:c r="A10" s="22" t="str">
        <x:v>CONDOMÍNIO BOSQUE MARAJOARA</x:v>
      </x:c>
      <x:c r="B10" s="22" t="str">
        <x:v>CONDOMÍNIO BOSQUE MARAJOARA</x:v>
      </x:c>
      <x:c r="C10" s="22" t="str">
        <x:v>Confirmado</x:v>
      </x:c>
      <x:c r="D10" s="22" t="str">
        <x:v>ativo</x:v>
      </x:c>
      <x:c r="E10" s="39" t="str">
        <x:v>32.670.404/0001-89</x:v>
      </x:c>
      <x:c r="F10" s="22" t="n">
        <x:v>6</x:v>
      </x:c>
      <x:c r="G10" s="40" t="n">
        <x:v>10172.57</x:v>
      </x:c>
      <x:c r="H10" s="22" t="str">
        <x:v>Camila</x:v>
      </x:c>
    </x:row>
    <x:row r="11">
      <x:c r="A11" s="22" t="str">
        <x:v>CONDOMÍNIO CÁDIZ JARDIM PRUDÊNCIA</x:v>
      </x:c>
      <x:c r="B11" s="22" t="str">
        <x:v>CONDOMÍNIO CÁDIZ JARDIM PRUDÊNCIA</x:v>
      </x:c>
      <x:c r="C11" s="22" t="str">
        <x:v>Confirmado</x:v>
      </x:c>
      <x:c r="D11" s="22" t="str">
        <x:v>ativo</x:v>
      </x:c>
      <x:c r="E11" s="39" t="str">
        <x:v>47.908.154/0001-40</x:v>
      </x:c>
      <x:c r="F11" s="22" t="n">
        <x:v>6</x:v>
      </x:c>
      <x:c r="G11" s="40" t="n">
        <x:v>4594.66</x:v>
      </x:c>
      <x:c r="H11" s="22" t="str">
        <x:v>Dani</x:v>
      </x:c>
    </x:row>
    <x:row r="12">
      <x:c r="A12" s="22" t="str">
        <x:v>CONDOMÍNIO CYRELA ATMOSFERA 360 SUBCONDOMÍNIO 2</x:v>
      </x:c>
      <x:c r="B12" s="22" t="str">
        <x:v>CYRELA ATMOSFERA 360 SUBCONDOMÍNIO 2</x:v>
      </x:c>
      <x:c r="C12" s="22" t="str">
        <x:v>Confirmado</x:v>
      </x:c>
      <x:c r="D12" s="22" t="str">
        <x:v>ativo</x:v>
      </x:c>
      <x:c r="E12" s="39" t="str">
        <x:v>57.637.536/0004-82</x:v>
      </x:c>
      <x:c r="F12" s="22" t="n">
        <x:v>2</x:v>
      </x:c>
      <x:c r="G12" s="40" t="n">
        <x:v>1037.82</x:v>
      </x:c>
      <x:c r="H12" s="22" t="str">
        <x:v>Dani</x:v>
      </x:c>
    </x:row>
    <x:row r="13">
      <x:c r="A13" s="22" t="str">
        <x:v>CONDOMÍNIO CYRELA IBIRAPUERA BY YOO - MEDPLEX</x:v>
      </x:c>
      <x:c r="B13" s="22" t="str">
        <x:v>CONDOMÍNIO CYRELA IBIRAPUERA BY YOO - MEDPLEX</x:v>
      </x:c>
      <x:c r="C13" s="22" t="str">
        <x:v>Confirmado</x:v>
      </x:c>
      <x:c r="D13" s="22" t="str">
        <x:v>ativo</x:v>
      </x:c>
      <x:c r="E13" s="39" t="str">
        <x:v>49.109.007/0003-05</x:v>
      </x:c>
      <x:c r="F13" s="22" t="n">
        <x:v>1</x:v>
      </x:c>
      <x:c r="G13" s="40" t="n">
        <x:v>1271.82</x:v>
      </x:c>
      <x:c r="H13" s="22" t="str">
        <x:v>Camila</x:v>
      </x:c>
    </x:row>
    <x:row r="14">
      <x:c r="A14" s="22" t="str">
        <x:v>CONDOMÍNIO CYRELA IBIRAPUERA BY YOO - SETOR RESIDENCIAL 2</x:v>
      </x:c>
      <x:c r="B14" s="22" t="str">
        <x:v>CONDOMÍNIO CYRELA IBIRAPUERA BY YOO - SETOR RESIDENCIAL 2</x:v>
      </x:c>
      <x:c r="C14" s="22" t="str">
        <x:v>Confirmado</x:v>
      </x:c>
      <x:c r="D14" s="22" t="str">
        <x:v>ativo</x:v>
      </x:c>
      <x:c r="E14" s="39" t="str">
        <x:v>49.109.007/0001-35</x:v>
      </x:c>
      <x:c r="F14" s="22" t="n">
        <x:v>4</x:v>
      </x:c>
      <x:c r="G14" s="40" t="n">
        <x:v>5998.67</x:v>
      </x:c>
      <x:c r="H14" s="22" t="str">
        <x:v>Camila</x:v>
      </x:c>
    </x:row>
    <x:row r="15">
      <x:c r="A15" s="22" t="str">
        <x:v>CONDOMINIO DOMO RESIDENCIAL LIFE</x:v>
      </x:c>
      <x:c r="B15" s="22" t="str">
        <x:v>CONDOMÍNIO DOMO RESIDENCIAL LIFE</x:v>
      </x:c>
      <x:c r="C15" s="22" t="str">
        <x:v>Confirmado</x:v>
      </x:c>
      <x:c r="D15" s="22" t="str">
        <x:v>ativo</x:v>
      </x:c>
      <x:c r="E15" s="39" t="str">
        <x:v>19.719.471/0001-82</x:v>
      </x:c>
      <x:c r="F15" s="22" t="n">
        <x:v>10</x:v>
      </x:c>
      <x:c r="G15" s="40" t="n">
        <x:v>16099.539999999997</x:v>
      </x:c>
      <x:c r="H15" s="22" t="str">
        <x:v>Dani</x:v>
      </x:c>
    </x:row>
    <x:row r="16">
      <x:c r="A16" s="22" t="str">
        <x:v>CONDOMÍNIO EDIFÍCIO CACIQUE</x:v>
      </x:c>
      <x:c r="B16" s="22" t="str">
        <x:v>CONDOMÍNIO EDIFÍCIO CACIQUE</x:v>
      </x:c>
      <x:c r="C16" s="22" t="str">
        <x:v>Confirmado</x:v>
      </x:c>
      <x:c r="D16" s="22" t="str">
        <x:v>ativo</x:v>
      </x:c>
      <x:c r="E16" s="39" t="str">
        <x:v>55.234.678/0001-20</x:v>
      </x:c>
      <x:c r="F16" s="22" t="n">
        <x:v>3</x:v>
      </x:c>
      <x:c r="G16" s="40" t="n">
        <x:v>4720.299999999999</x:v>
      </x:c>
      <x:c r="H16" s="22" t="str">
        <x:v>Camila</x:v>
      </x:c>
    </x:row>
    <x:row r="17">
      <x:c r="A17" s="22" t="str">
        <x:v>CONDOMINIO EDIFICIO ESTAÇÃO GABRIELE</x:v>
      </x:c>
      <x:c r="B17" s="22" t="str">
        <x:v>CONDOMÍNIO EDIFÍCIO ESTAÇÃO GABRIELE</x:v>
      </x:c>
      <x:c r="C17" s="22" t="str">
        <x:v>Confirmado</x:v>
      </x:c>
      <x:c r="D17" s="22" t="str">
        <x:v>ativo</x:v>
      </x:c>
      <x:c r="E17" s="39" t="str">
        <x:v>29.050.207/0001-52</x:v>
      </x:c>
      <x:c r="F17" s="22" t="n">
        <x:v>9</x:v>
      </x:c>
      <x:c r="G17" s="40" t="n">
        <x:v>6741.000000000001</x:v>
      </x:c>
      <x:c r="H17" s="22" t="str">
        <x:v>Camila</x:v>
      </x:c>
    </x:row>
    <x:row r="18">
      <x:c r="A18" s="22" t="str">
        <x:v>CONDOMÍNIO EDIFÍCIO IMPERIAL BERRINI OFFICES</x:v>
      </x:c>
      <x:c r="B18" s="22" t="str">
        <x:v>CONDOMÍNIO EDIFÍCIO IMPERIAL BERRINI OFFICES</x:v>
      </x:c>
      <x:c r="C18" s="22" t="str">
        <x:v>Confirmado</x:v>
      </x:c>
      <x:c r="D18" s="22" t="str">
        <x:v>ativo</x:v>
      </x:c>
      <x:c r="E18" s="39" t="str">
        <x:v>02.498.495/0001-56</x:v>
      </x:c>
      <x:c r="F18" s="22" t="n">
        <x:v>2</x:v>
      </x:c>
      <x:c r="G18" s="40" t="n">
        <x:v>2112.38</x:v>
      </x:c>
      <x:c r="H18" s="22" t="str">
        <x:v>Dani</x:v>
      </x:c>
    </x:row>
    <x:row r="19">
      <x:c r="A19" s="22" t="str">
        <x:v>CONDOMÍNIO EDIFÍCIO OASIS</x:v>
      </x:c>
      <x:c r="B19" s="22" t="str">
        <x:v>CONDOMÍNIO EDIFÍCIO OASIS</x:v>
      </x:c>
      <x:c r="C19" s="22" t="str">
        <x:v>Confirmado</x:v>
      </x:c>
      <x:c r="D19" s="22" t="str">
        <x:v>ativo</x:v>
      </x:c>
      <x:c r="E19" s="39" t="str">
        <x:v>10.933.934/0001-30</x:v>
      </x:c>
      <x:c r="F19" s="22" t="n">
        <x:v>6</x:v>
      </x:c>
      <x:c r="G19" s="40" t="n">
        <x:v>8650.650000000001</x:v>
      </x:c>
      <x:c r="H19" s="22" t="str">
        <x:v>Camila</x:v>
      </x:c>
    </x:row>
    <x:row r="20">
      <x:c r="A20" s="22" t="str">
        <x:v>CONDOMINIO Elo &amp; Elo Duo Caminhos da Lapa - Setor 2 - Residencial (Torre A - Elo Caminhos da Lapa);</x:v>
      </x:c>
      <x:c r="B20" s="22" t="str">
        <x:v>CONDOMÍNIO ELO &amp; ELO DUO CAMINHOS DA LAPA SETOR 2 RESIDENCIAL TORRE A</x:v>
      </x:c>
      <x:c r="C20" s="22" t="str">
        <x:v>Confirmado</x:v>
      </x:c>
      <x:c r="D20" s="22" t="str">
        <x:v>ativo</x:v>
      </x:c>
      <x:c r="E20" s="39" t="str">
        <x:v>54.405.702/0002-65</x:v>
      </x:c>
      <x:c r="F20" s="22" t="n">
        <x:v>6</x:v>
      </x:c>
      <x:c r="G20" s="40" t="n">
        <x:v>6380.209999999999</x:v>
      </x:c>
      <x:c r="H20" s="22" t="str">
        <x:v>Camila</x:v>
      </x:c>
    </x:row>
    <x:row r="21">
      <x:c r="A21" s="22" t="str">
        <x:v>CONDOMINIO Elo &amp; Elo Duo Caminhos da Lapa - Setor 3 - Residencial (Torre B - Elo Caminhos da Lapa);</x:v>
      </x:c>
      <x:c r="B21" s="22" t="str">
        <x:v>CONDOMÍNIO ELO &amp; ELO DUO CAMINHOS DA LAPA SETOR 3 RESIDENCIAL TORRE B</x:v>
      </x:c>
      <x:c r="C21" s="22" t="str">
        <x:v>Confirmado</x:v>
      </x:c>
      <x:c r="D21" s="22" t="str">
        <x:v>ativo</x:v>
      </x:c>
      <x:c r="E21" s="39" t="str">
        <x:v>54.405.702/0003-46</x:v>
      </x:c>
      <x:c r="F21" s="22" t="n">
        <x:v>2</x:v>
      </x:c>
      <x:c r="G21" s="40" t="n">
        <x:v>1493.94</x:v>
      </x:c>
      <x:c r="H21" s="22" t="str">
        <x:v>Camila</x:v>
      </x:c>
    </x:row>
    <x:row r="22">
      <x:c r="A22" s="22" t="str">
        <x:v>CONDOMÍNIO EXTENSION BERRINI</x:v>
      </x:c>
      <x:c r="B22" s="22" t="str">
        <x:v>CONDOMÍNIO EXTENSION BERRINI</x:v>
      </x:c>
      <x:c r="C22" s="22" t="str">
        <x:v>Confirmado</x:v>
      </x:c>
      <x:c r="D22" s="22" t="str">
        <x:v>ativo</x:v>
      </x:c>
      <x:c r="E22" s="39" t="str">
        <x:v>55.211.616/0001-01</x:v>
      </x:c>
      <x:c r="F22" s="22" t="n">
        <x:v>5</x:v>
      </x:c>
      <x:c r="G22" s="40" t="n">
        <x:v>5480.8099999999995</x:v>
      </x:c>
      <x:c r="H22" s="22" t="str">
        <x:v>Camila</x:v>
      </x:c>
    </x:row>
    <x:row r="23">
      <x:c r="A23" s="22" t="str">
        <x:v>CONDOMÍNIO FOLLOW – THE EUREKA BUILDING</x:v>
      </x:c>
      <x:c r="B23" s="22" t="str">
        <x:v>CONDOMÍNIO FOLLOW – THE EUREKA BUILDING</x:v>
      </x:c>
      <x:c r="C23" s="22" t="str">
        <x:v>Confirmado</x:v>
      </x:c>
      <x:c r="D23" s="22" t="str">
        <x:v>ativo</x:v>
      </x:c>
      <x:c r="E23" s="39" t="str">
        <x:v>26.307.047/0001-96</x:v>
      </x:c>
      <x:c r="F23" s="22" t="n">
        <x:v>2</x:v>
      </x:c>
      <x:c r="G23" s="40" t="n">
        <x:v>2648.5299999999997</x:v>
      </x:c>
      <x:c r="H23" s="22" t="str">
        <x:v>Dani</x:v>
      </x:c>
    </x:row>
    <x:row r="24">
      <x:c r="A24" s="22" t="str">
        <x:v>CONDOMÍNIO GARDEN CLUB BARRA FUNDA</x:v>
      </x:c>
      <x:c r="B24" s="22" t="str">
        <x:v>CONDOMÍNIO GARDEN CLUB BARRA FUNDA</x:v>
      </x:c>
      <x:c r="C24" s="22" t="str">
        <x:v>Confirmado</x:v>
      </x:c>
      <x:c r="D24" s="22" t="str">
        <x:v>ativo</x:v>
      </x:c>
      <x:c r="E24" s="39" t="str">
        <x:v>13.018.928/0001-45</x:v>
      </x:c>
      <x:c r="F24" s="22" t="n">
        <x:v>1</x:v>
      </x:c>
      <x:c r="G24" s="40" t="n">
        <x:v>960.15</x:v>
      </x:c>
      <x:c r="H24" s="22" t="str">
        <x:v>Dani</x:v>
      </x:c>
    </x:row>
    <x:row r="25">
      <x:c r="A25" s="22" t="str">
        <x:v>CONDOMINIO HARMONIA 1040 - ESCRITÓRIOS</x:v>
      </x:c>
      <x:c r="B25" s="22" t="str">
        <x:v>CONDOMÍNIO HARMONIA 1040 - ESCRITÓRIOS</x:v>
      </x:c>
      <x:c r="C25" s="22" t="str">
        <x:v>Confirmado</x:v>
      </x:c>
      <x:c r="D25" s="22" t="str">
        <x:v>ativo</x:v>
      </x:c>
      <x:c r="E25" s="39" t="str">
        <x:v>52.389.637/0004-68</x:v>
      </x:c>
      <x:c r="F25" s="22" t="n">
        <x:v>1</x:v>
      </x:c>
      <x:c r="G25" s="40" t="n">
        <x:v>1023.53</x:v>
      </x:c>
      <x:c r="H25" s="22" t="str">
        <x:v>Camila</x:v>
      </x:c>
    </x:row>
    <x:row r="26">
      <x:c r="A26" s="22" t="str">
        <x:v>CONDOMINIO IN JARDIM SUL GALERY</x:v>
      </x:c>
      <x:c r="B26" s="22" t="str">
        <x:v>CONDOMÍNIO IN JARDIM SUL GALLERY</x:v>
      </x:c>
      <x:c r="C26" s="22" t="str">
        <x:v>Confirmado</x:v>
      </x:c>
      <x:c r="D26" s="22" t="str">
        <x:v>ativo</x:v>
      </x:c>
      <x:c r="E26" s="39" t="str">
        <x:v>20.456.882/0001-01</x:v>
      </x:c>
      <x:c r="F26" s="22" t="n">
        <x:v>4</x:v>
      </x:c>
      <x:c r="G26" s="40" t="n">
        <x:v>6350.39</x:v>
      </x:c>
      <x:c r="H26" s="22" t="str">
        <x:v>Dani</x:v>
      </x:c>
    </x:row>
    <x:row r="27">
      <x:c r="A27" s="22" t="str">
        <x:v>CONDOMÍNIO KEY MOEMA</x:v>
      </x:c>
      <x:c r="B27" s="22" t="str">
        <x:v>CONDOMÍNIO KEY MOEMA</x:v>
      </x:c>
      <x:c r="C27" s="22" t="str">
        <x:v>Confirmado</x:v>
      </x:c>
      <x:c r="D27" s="22" t="str">
        <x:v>ativo</x:v>
      </x:c>
      <x:c r="E27" s="39" t="str">
        <x:v>42.331.105/0001-73</x:v>
      </x:c>
      <x:c r="F27" s="22" t="n">
        <x:v>1</x:v>
      </x:c>
      <x:c r="G27" s="40" t="n">
        <x:v>1191.03</x:v>
      </x:c>
      <x:c r="H27" s="22" t="str">
        <x:v>Dani</x:v>
      </x:c>
    </x:row>
    <x:row r="28">
      <x:c r="A28" s="22" t="str">
        <x:v>CONDOMÍNIO LAVANCE MORUMBI</x:v>
      </x:c>
      <x:c r="B28" s="22" t="str">
        <x:v>CONDOMÍNIO EDIFÍCIO L'AVANCE MORUMBI</x:v>
      </x:c>
      <x:c r="C28" s="22" t="str">
        <x:v>Confirmado</x:v>
      </x:c>
      <x:c r="D28" s="22" t="str">
        <x:v>ativo</x:v>
      </x:c>
      <x:c r="E28" s="39" t="str">
        <x:v>07.573.283/0001-00</x:v>
      </x:c>
      <x:c r="F28" s="22" t="n">
        <x:v>4</x:v>
      </x:c>
      <x:c r="G28" s="40" t="n">
        <x:v>11801.210000000001</x:v>
      </x:c>
      <x:c r="H28" s="22" t="str">
        <x:v>Cronograma geral</x:v>
      </x:c>
    </x:row>
    <x:row r="29">
      <x:c r="A29" s="22" t="str">
        <x:v>CONDOMÍNIO MAISON D'ORSAY</x:v>
      </x:c>
      <x:c r="B29" s="22" t="str">
        <x:v>CONDOMÍNIO MAISON D'ORSAY</x:v>
      </x:c>
      <x:c r="C29" s="22" t="str">
        <x:v>Confirmado</x:v>
      </x:c>
      <x:c r="D29" s="22" t="str">
        <x:v>ativo</x:v>
      </x:c>
      <x:c r="E29" s="39" t="str">
        <x:v>07.439.062/0001-43</x:v>
      </x:c>
      <x:c r="F29" s="22" t="n">
        <x:v>1</x:v>
      </x:c>
      <x:c r="G29" s="40" t="n">
        <x:v>1896.94</x:v>
      </x:c>
      <x:c r="H29" s="22" t="str">
        <x:v>Camila</x:v>
      </x:c>
    </x:row>
    <x:row r="30">
      <x:c r="A30" s="22" t="str">
        <x:v>CONDOMINIO MOEMA FLAT SERVICE</x:v>
      </x:c>
      <x:c r="B30" s="22" t="str">
        <x:v>EDIFÍCIO MOEMA FLAT SERVICE</x:v>
      </x:c>
      <x:c r="C30" s="22" t="str">
        <x:v>Confirmado</x:v>
      </x:c>
      <x:c r="D30" s="22" t="str">
        <x:v>ativo</x:v>
      </x:c>
      <x:c r="E30" s="39" t="str">
        <x:v>04.632.843/0001-61</x:v>
      </x:c>
      <x:c r="F30" s="22" t="n">
        <x:v>3</x:v>
      </x:c>
      <x:c r="G30" s="40" t="n">
        <x:v>5826.54</x:v>
      </x:c>
      <x:c r="H30" s="22" t="str">
        <x:v>Cronograma geral</x:v>
      </x:c>
    </x:row>
    <x:row r="31">
      <x:c r="A31" s="22" t="str">
        <x:v>CONDOMÍNIO NEW WAY</x:v>
      </x:c>
      <x:c r="B31" s="22" t="str">
        <x:v>CONDOMÍNIO NEW WAY</x:v>
      </x:c>
      <x:c r="C31" s="22" t="str">
        <x:v>Confirmado</x:v>
      </x:c>
      <x:c r="D31" s="22" t="str">
        <x:v>ativo</x:v>
      </x:c>
      <x:c r="E31" s="39" t="str">
        <x:v>23.896.621/0001-09</x:v>
      </x:c>
      <x:c r="F31" s="22" t="n">
        <x:v>7</x:v>
      </x:c>
      <x:c r="G31" s="40" t="n">
        <x:v>7138.09</x:v>
      </x:c>
      <x:c r="H31" s="22" t="str">
        <x:v>Camila</x:v>
      </x:c>
    </x:row>
    <x:row r="32">
      <x:c r="A32" s="22" t="str">
        <x:v>CONDOMÍNIO PROJECT HOME</x:v>
      </x:c>
      <x:c r="B32" s="22" t="str">
        <x:v>CONDOMÍNIO PROJECT HOME</x:v>
      </x:c>
      <x:c r="C32" s="22" t="str">
        <x:v>Confirmado</x:v>
      </x:c>
      <x:c r="D32" s="22" t="str">
        <x:v>ativo</x:v>
      </x:c>
      <x:c r="E32" s="39" t="str">
        <x:v>04.763.468/0001-99</x:v>
      </x:c>
      <x:c r="F32" s="22" t="n">
        <x:v>1</x:v>
      </x:c>
      <x:c r="G32" s="40" t="n">
        <x:v>995.59</x:v>
      </x:c>
      <x:c r="H32" s="22" t="str">
        <x:v>Dani</x:v>
      </x:c>
    </x:row>
    <x:row r="33">
      <x:c r="A33" s="22" t="str">
        <x:v>CONDOMÍNIO RAIZES DA MATA</x:v>
      </x:c>
      <x:c r="B33" s="22" t="str">
        <x:v>CONDOMÍNIO RAIZES DA MATA</x:v>
      </x:c>
      <x:c r="C33" s="22" t="str">
        <x:v>Confirmado</x:v>
      </x:c>
      <x:c r="D33" s="22" t="str">
        <x:v>ativo</x:v>
      </x:c>
      <x:c r="E33" s="39" t="str">
        <x:v>08.422.331/0001-21</x:v>
      </x:c>
      <x:c r="F33" s="22" t="n">
        <x:v>1</x:v>
      </x:c>
      <x:c r="G33" s="40" t="n">
        <x:v>3359.33</x:v>
      </x:c>
      <x:c r="H33" s="22" t="str">
        <x:v>Camila</x:v>
      </x:c>
    </x:row>
    <x:row r="34">
      <x:c r="A34" s="22" t="str">
        <x:v>CONDOMINIO RESERVA BUTANTA</x:v>
      </x:c>
      <x:c r="B34" s="22" t="str">
        <x:v>CONDOMÍNIO RESERVA BUTANTA</x:v>
      </x:c>
      <x:c r="C34" s="22" t="str">
        <x:v>Confirmado</x:v>
      </x:c>
      <x:c r="D34" s="22" t="str">
        <x:v>ativo</x:v>
      </x:c>
      <x:c r="E34" s="39" t="str">
        <x:v>18.777.394/0001-54</x:v>
      </x:c>
      <x:c r="F34" s="22" t="n">
        <x:v>1</x:v>
      </x:c>
      <x:c r="G34" s="40" t="n">
        <x:v>1246.48</x:v>
      </x:c>
      <x:c r="H34" s="22" t="str">
        <x:v>Camila</x:v>
      </x:c>
    </x:row>
    <x:row r="35">
      <x:c r="A35" s="22" t="str">
        <x:v>CONDOMÍNIO RESIDENCIAL INSPIRE MAUÁ SONHOS</x:v>
      </x:c>
      <x:c r="B35" s="22" t="str">
        <x:v>CONDOMÍNIO RESIDENCIAL INSPIRE MAUÁ SONHOS</x:v>
      </x:c>
      <x:c r="C35" s="22" t="str">
        <x:v>Confirmado</x:v>
      </x:c>
      <x:c r="D35" s="22" t="str">
        <x:v>ativo</x:v>
      </x:c>
      <x:c r="E35" s="39" t="str">
        <x:v>33.294.498/0001-00</x:v>
      </x:c>
      <x:c r="F35" s="22" t="n">
        <x:v>5</x:v>
      </x:c>
      <x:c r="G35" s="40" t="n">
        <x:v>2279.23</x:v>
      </x:c>
      <x:c r="H35" s="22" t="str">
        <x:v>Dani</x:v>
      </x:c>
    </x:row>
    <x:row r="36">
      <x:c r="A36" s="22" t="str">
        <x:v>CONDOMÍNIO RESIDENCIAL MAIS ESTILO &amp; DESIGN MORUMBI</x:v>
      </x:c>
      <x:c r="B36" s="22" t="str">
        <x:v>CONDOMÍNIO RESIDENCIAL MAIS ESTILO &amp; DESIGN MORUMBI</x:v>
      </x:c>
      <x:c r="C36" s="22" t="str">
        <x:v>Confirmado</x:v>
      </x:c>
      <x:c r="D36" s="22" t="str">
        <x:v>ativo</x:v>
      </x:c>
      <x:c r="E36" s="39" t="str">
        <x:v>19.436.901/0001-59</x:v>
      </x:c>
      <x:c r="F36" s="22" t="n">
        <x:v>2</x:v>
      </x:c>
      <x:c r="G36" s="40" t="n">
        <x:v>2824.35</x:v>
      </x:c>
      <x:c r="H36" s="22" t="str">
        <x:v>Camila</x:v>
      </x:c>
    </x:row>
    <x:row r="37">
      <x:c r="A37" s="22" t="str">
        <x:v>CONDOMÍNIO RESIDENCIAL METROCASA MORUMBI</x:v>
      </x:c>
      <x:c r="B37" s="22" t="str">
        <x:v>CONDOMÍNIO RESIDENCIAL METROCASA MORUMBI</x:v>
      </x:c>
      <x:c r="C37" s="22" t="str">
        <x:v>Confirmado</x:v>
      </x:c>
      <x:c r="D37" s="22" t="str">
        <x:v>inativo</x:v>
      </x:c>
      <x:c r="E37" s="39" t="str">
        <x:v>53.344.499/0001-10</x:v>
      </x:c>
      <x:c r="F37" s="22" t="n">
        <x:v>2</x:v>
      </x:c>
      <x:c r="G37" s="40" t="n">
        <x:v>5060.16</x:v>
      </x:c>
      <x:c r="H37" s="22" t="str">
        <x:v>Cronograma geral</x:v>
      </x:c>
    </x:row>
    <x:row r="38">
      <x:c r="A38" s="22" t="str">
        <x:v>CONDOMÍNIO SAFIRA</x:v>
      </x:c>
      <x:c r="B38" s="22" t="str">
        <x:v>CONDOMÍNIO SAFIRA</x:v>
      </x:c>
      <x:c r="C38" s="22" t="str">
        <x:v>Confirmado</x:v>
      </x:c>
      <x:c r="D38" s="22" t="str">
        <x:v>ativo</x:v>
      </x:c>
      <x:c r="E38" s="39" t="str">
        <x:v>55.361.065/0001-54</x:v>
      </x:c>
      <x:c r="F38" s="22" t="n">
        <x:v>19</x:v>
      </x:c>
      <x:c r="G38" s="40" t="n">
        <x:v>7480.619999999998</x:v>
      </x:c>
      <x:c r="H38" s="22" t="str">
        <x:v>Cronograma geral</x:v>
      </x:c>
    </x:row>
    <x:row r="39">
      <x:c r="A39" s="22" t="str">
        <x:v>CONDOMÍNIO SOLAR DOS BANDEIRANTES</x:v>
      </x:c>
      <x:c r="B39" s="22" t="str">
        <x:v>CONDOMÍNIO SOLAR DOS BANDEIRANTES</x:v>
      </x:c>
      <x:c r="C39" s="22" t="str">
        <x:v>Confirmado</x:v>
      </x:c>
      <x:c r="D39" s="22" t="str">
        <x:v>ativo</x:v>
      </x:c>
      <x:c r="E39" s="39" t="str">
        <x:v>55.294.375/0001-01</x:v>
      </x:c>
      <x:c r="F39" s="22" t="n">
        <x:v>2</x:v>
      </x:c>
      <x:c r="G39" s="40" t="n">
        <x:v>2678.3</x:v>
      </x:c>
      <x:c r="H39" s="22" t="str">
        <x:v>Dani</x:v>
      </x:c>
    </x:row>
    <x:row r="40">
      <x:c r="A40" s="22" t="str">
        <x:v>CONDOMÍNIO SQUARE GARDEN CAMPO BELO  - RESIDENCIAL</x:v>
      </x:c>
      <x:c r="B40" s="22" t="str">
        <x:v>CONDOMÍNIO SQUARE GARDEN CAMPO BELO - RESIDENCIAL</x:v>
      </x:c>
      <x:c r="C40" s="22" t="str">
        <x:v>Confirmado</x:v>
      </x:c>
      <x:c r="D40" s="22" t="str">
        <x:v>ativo</x:v>
      </x:c>
      <x:c r="E40" s="39" t="str">
        <x:v>52.151.457/0002-81</x:v>
      </x:c>
      <x:c r="F40" s="22" t="n">
        <x:v>2</x:v>
      </x:c>
      <x:c r="G40" s="40" t="n">
        <x:v>4571.4</x:v>
      </x:c>
      <x:c r="H40" s="22" t="str">
        <x:v>Camila</x:v>
      </x:c>
    </x:row>
    <x:row r="41">
      <x:c r="A41" s="22" t="str">
        <x:v>CONDOMÍNIO SQUARE GUARULHOS</x:v>
      </x:c>
      <x:c r="B41" s="22" t="str">
        <x:v>CONDOMÍNIO SQUARE GUARULHOS</x:v>
      </x:c>
      <x:c r="C41" s="22" t="str">
        <x:v>Confirmado</x:v>
      </x:c>
      <x:c r="D41" s="22" t="str">
        <x:v>ativo</x:v>
      </x:c>
      <x:c r="E41" s="39" t="str">
        <x:v>14.234.598/0001-98</x:v>
      </x:c>
      <x:c r="F41" s="22" t="n">
        <x:v>2</x:v>
      </x:c>
      <x:c r="G41" s="40" t="n">
        <x:v>2279.1</x:v>
      </x:c>
      <x:c r="H41" s="22" t="str">
        <x:v>Dani</x:v>
      </x:c>
    </x:row>
    <x:row r="42">
      <x:c r="A42" s="22" t="str">
        <x:v>CONDOMÍNIO SUIT SÃO BERNARDO</x:v>
      </x:c>
      <x:c r="B42" s="22" t="str">
        <x:v>CONDOMÍNIO SUIT SÃO BERNARDO</x:v>
      </x:c>
      <x:c r="C42" s="22" t="str">
        <x:v>Confirmado</x:v>
      </x:c>
      <x:c r="D42" s="22" t="str">
        <x:v>ativo</x:v>
      </x:c>
      <x:c r="E42" s="39" t="str">
        <x:v>29.205.467/0001-50</x:v>
      </x:c>
      <x:c r="F42" s="22" t="n">
        <x:v>10</x:v>
      </x:c>
      <x:c r="G42" s="40" t="n">
        <x:v>12179.99</x:v>
      </x:c>
      <x:c r="H42" s="22" t="str">
        <x:v>Camila</x:v>
      </x:c>
    </x:row>
    <x:row r="43">
      <x:c r="A43" s="22" t="str">
        <x:v>CONDOMÍNIO VERDANA JARDIM PRUDÊNCIA – SETOR RESIDENCIAL</x:v>
      </x:c>
      <x:c r="B43" s="22" t="str">
        <x:v>VERDANA JARDIM PRUDENCIA SETOR RESIDENCIAL</x:v>
      </x:c>
      <x:c r="C43" s="22" t="str">
        <x:v>Confirmado</x:v>
      </x:c>
      <x:c r="D43" s="22" t="str">
        <x:v>ativo</x:v>
      </x:c>
      <x:c r="E43" s="39" t="str">
        <x:v>57.897.276/0001-31</x:v>
      </x:c>
      <x:c r="F43" s="22" t="n">
        <x:v>12</x:v>
      </x:c>
      <x:c r="G43" s="40" t="n">
        <x:v>18233.43</x:v>
      </x:c>
      <x:c r="H43" s="22" t="str">
        <x:v>Dani</x:v>
      </x:c>
    </x:row>
    <x:row r="44">
      <x:c r="A44" s="22" t="str">
        <x:v>CONDOMÍNIO VILA DAS CORES</x:v>
      </x:c>
      <x:c r="B44" s="22" t="str">
        <x:v>CONDOMÍNIO VILA DAS CORES</x:v>
      </x:c>
      <x:c r="C44" s="22" t="str">
        <x:v>Confirmado</x:v>
      </x:c>
      <x:c r="D44" s="22" t="str">
        <x:v>ativo</x:v>
      </x:c>
      <x:c r="E44" s="39" t="str">
        <x:v>08.258.385/0001-01</x:v>
      </x:c>
      <x:c r="F44" s="22" t="n">
        <x:v>3</x:v>
      </x:c>
      <x:c r="G44" s="40" t="n">
        <x:v>26913.21</x:v>
      </x:c>
      <x:c r="H44" s="22" t="str">
        <x:v>Dani</x:v>
      </x:c>
    </x:row>
    <x:row r="45">
      <x:c r="A45" s="22" t="str">
        <x:v>CONDOMINIO VILA NATURA</x:v>
      </x:c>
      <x:c r="B45" s="22" t="str">
        <x:v>CONDOMÍNIO VILLA NATURA</x:v>
      </x:c>
      <x:c r="C45" s="22" t="str">
        <x:v>Confirmado</x:v>
      </x:c>
      <x:c r="D45" s="22" t="str">
        <x:v>ativo</x:v>
      </x:c>
      <x:c r="E45" s="39" t="str">
        <x:v>07.964.226/0001-51</x:v>
      </x:c>
      <x:c r="F45" s="22" t="n">
        <x:v>6</x:v>
      </x:c>
      <x:c r="G45" s="40" t="n">
        <x:v>18005.69</x:v>
      </x:c>
      <x:c r="H45" s="22" t="str">
        <x:v>Camila</x:v>
      </x:c>
    </x:row>
    <x:row r="46">
      <x:c r="A46" s="22" t="str">
        <x:v>CONDOMÍNIO VILLA DORIA</x:v>
      </x:c>
      <x:c r="B46" s="22" t="str">
        <x:v>CONDOMÍNIO VILLA DORIA</x:v>
      </x:c>
      <x:c r="C46" s="22" t="str">
        <x:v>Confirmado</x:v>
      </x:c>
      <x:c r="D46" s="22" t="str">
        <x:v>inativo</x:v>
      </x:c>
      <x:c r="E46" s="39" t="str">
        <x:v>05.382.774/0001-48</x:v>
      </x:c>
      <x:c r="F46" s="22" t="n">
        <x:v>1</x:v>
      </x:c>
      <x:c r="G46" s="40" t="n">
        <x:v>3920.44</x:v>
      </x:c>
      <x:c r="H46" s="22" t="str">
        <x:v>Dani</x:v>
      </x:c>
    </x:row>
    <x:row r="47">
      <x:c r="A47" s="22" t="str">
        <x:v>CONDOMÍNIO VILLA LOBOS OFFICE PARK</x:v>
      </x:c>
      <x:c r="B47" s="22" t="str">
        <x:v>CONDOMÍNIO VILLA LOBOS OFFICE PARK</x:v>
      </x:c>
      <x:c r="C47" s="22" t="str">
        <x:v>Confirmado</x:v>
      </x:c>
      <x:c r="D47" s="22" t="str">
        <x:v>ativo</x:v>
      </x:c>
      <x:c r="E47" s="39" t="str">
        <x:v>13.190.286/0001-67</x:v>
      </x:c>
      <x:c r="F47" s="22" t="n">
        <x:v>8</x:v>
      </x:c>
      <x:c r="G47" s="40" t="n">
        <x:v>11072.210000000001</x:v>
      </x:c>
      <x:c r="H47" s="22" t="str">
        <x:v>Dani</x:v>
      </x:c>
    </x:row>
    <x:row r="48">
      <x:c r="A48" s="22" t="str">
        <x:v>CONDOMÍNIO VN TOPAZIO</x:v>
      </x:c>
      <x:c r="B48" s="22" t="str">
        <x:v>VN CASA TOPAZIO</x:v>
      </x:c>
      <x:c r="C48" s="22" t="str">
        <x:v>Confirmado</x:v>
      </x:c>
      <x:c r="D48" s="22" t="str">
        <x:v>ativo</x:v>
      </x:c>
      <x:c r="E48" s="39" t="str">
        <x:v>27.859.053/0001-19</x:v>
      </x:c>
      <x:c r="F48" s="22" t="n">
        <x:v>4</x:v>
      </x:c>
      <x:c r="G48" s="40" t="n">
        <x:v>5275.540000000001</x:v>
      </x:c>
      <x:c r="H48" s="22" t="str">
        <x:v>Cronograma geral</x:v>
      </x:c>
    </x:row>
    <x:row r="49">
      <x:c r="A49" s="22" t="str">
        <x:v>ESTILO GRANJA VIANA CONDOMÍNIO</x:v>
      </x:c>
      <x:c r="B49" s="22" t="str">
        <x:v>ESTILO GRANJA VIANA CONDOMÍNIO</x:v>
      </x:c>
      <x:c r="C49" s="22" t="str">
        <x:v>Confirmado</x:v>
      </x:c>
      <x:c r="D49" s="22" t="str">
        <x:v>ativo</x:v>
      </x:c>
      <x:c r="E49" s="39" t="str">
        <x:v>24.169.107/0001-26</x:v>
      </x:c>
      <x:c r="F49" s="22" t="n">
        <x:v>1</x:v>
      </x:c>
      <x:c r="G49" s="40" t="n">
        <x:v>385.52</x:v>
      </x:c>
      <x:c r="H49" s="22" t="str">
        <x:v>Camila</x:v>
      </x:c>
    </x:row>
    <x:row r="50">
      <x:c r="A50" s="22" t="str">
        <x:v>HARMONIA MORUMBI RESIDENCE</x:v>
      </x:c>
      <x:c r="B50" s="22" t="str">
        <x:v>HARMONIA MORUMBI RESIDENCE</x:v>
      </x:c>
      <x:c r="C50" s="22" t="str">
        <x:v>Confirmado</x:v>
      </x:c>
      <x:c r="D50" s="22" t="str">
        <x:v>ativo</x:v>
      </x:c>
      <x:c r="E50" s="39" t="str">
        <x:v>29.910.260/0001-86</x:v>
      </x:c>
      <x:c r="F50" s="22" t="n">
        <x:v>3</x:v>
      </x:c>
      <x:c r="G50" s="40" t="n">
        <x:v>2247.1600000000003</x:v>
      </x:c>
      <x:c r="H50" s="22" t="str">
        <x:v>Dani</x:v>
      </x:c>
    </x:row>
    <x:row r="51">
      <x:c r="A51" s="22" t="str">
        <x:v>HAUS MITRE RESERVA VILA MARIANA - SETOR RESIDENCIAL</x:v>
      </x:c>
      <x:c r="B51" s="22" t="str">
        <x:v>HAUS MITRE RESERVA VILA MARIANA SETOR RESIDENCIAL</x:v>
      </x:c>
      <x:c r="C51" s="22" t="str">
        <x:v>Confirmado</x:v>
      </x:c>
      <x:c r="D51" s="22" t="str">
        <x:v>ativo</x:v>
      </x:c>
      <x:c r="E51" s="39" t="str">
        <x:v>61.675.871/0002-80</x:v>
      </x:c>
      <x:c r="F51" s="22" t="n">
        <x:v>1</x:v>
      </x:c>
      <x:c r="G51" s="40" t="n">
        <x:v>2213.62</x:v>
      </x:c>
      <x:c r="H51" s="22" t="str">
        <x:v>Camila</x:v>
      </x:c>
    </x:row>
    <x:row r="52">
      <x:c r="A52" s="22" t="str">
        <x:v>RESIDENCIAL DAS ILHAS</x:v>
      </x:c>
      <x:c r="B52" s="22" t="str">
        <x:v>RESIDENCIAL DAS ILHAS</x:v>
      </x:c>
      <x:c r="C52" s="22" t="str">
        <x:v>Confirmado</x:v>
      </x:c>
      <x:c r="D52" s="22" t="str">
        <x:v>ativo</x:v>
      </x:c>
      <x:c r="E52" s="39" t="str">
        <x:v>08.769.535/0001-33</x:v>
      </x:c>
      <x:c r="F52" s="22" t="n">
        <x:v>3</x:v>
      </x:c>
      <x:c r="G52" s="40" t="n">
        <x:v>2926.75</x:v>
      </x:c>
      <x:c r="H52" s="22" t="str">
        <x:v>Dani</x:v>
      </x:c>
    </x:row>
    <x:row r="53">
      <x:c r="A53" s="22" t="str">
        <x:v>HAUS MITRE RESERVA VILA MARIANA - SETOR STUDIOS</x:v>
      </x:c>
      <x:c r="B53" s="22" t="str"/>
      <x:c r="C53" s="22" t="str">
        <x:v>Não localizado</x:v>
      </x:c>
      <x:c r="D53" s="22" t="str"/>
      <x:c r="E53" s="39" t="str"/>
      <x:c r="F53" s="22" t="n">
        <x:v>6</x:v>
      </x:c>
      <x:c r="G53" s="40" t="n">
        <x:v>3537.14</x:v>
      </x:c>
      <x:c r="H53" s="22" t="str">
        <x:v>Camila</x:v>
      </x:c>
    </x:row>
    <x:row r="54">
      <x:c r="A54" s="22" t="str">
        <x:v>ASSOCIAÇÃO PALACIO DAS AGUAS</x:v>
      </x:c>
      <x:c r="B54" s="22" t="str">
        <x:v>ASSOCIAÇÃO PALÁCIO DAS ÁGUAS HOME RESORT</x:v>
      </x:c>
      <x:c r="C54" s="22" t="str">
        <x:v>Provável</x:v>
      </x:c>
      <x:c r="D54" s="22" t="str">
        <x:v>ativo</x:v>
      </x:c>
      <x:c r="E54" s="39" t="str">
        <x:v>31.523.049/0001-52</x:v>
      </x:c>
      <x:c r="F54" s="22" t="n">
        <x:v>7</x:v>
      </x:c>
      <x:c r="G54" s="40" t="n">
        <x:v>3578.370000000001</x:v>
      </x:c>
      <x:c r="H54" s="22" t="str">
        <x:v>Camila</x:v>
      </x:c>
    </x:row>
    <x:row r="55">
      <x:c r="A55" s="22" t="str">
        <x:v>CONDOMÍNIO COMODITA</x:v>
      </x:c>
      <x:c r="B55" s="22" t="str">
        <x:v>CONDOMÍNIO COMODITÁ CLUB RESIDENCE</x:v>
      </x:c>
      <x:c r="C55" s="22" t="str">
        <x:v>Provável</x:v>
      </x:c>
      <x:c r="D55" s="22" t="str">
        <x:v>ativo</x:v>
      </x:c>
      <x:c r="E55" s="39" t="str">
        <x:v>19.723.248/0001-09</x:v>
      </x:c>
      <x:c r="F55" s="22" t="n">
        <x:v>10</x:v>
      </x:c>
      <x:c r="G55" s="40" t="n">
        <x:v>13029.61</x:v>
      </x:c>
      <x:c r="H55" s="22" t="str">
        <x:v>Camila</x:v>
      </x:c>
    </x:row>
    <x:row r="56">
      <x:c r="A56" s="22" t="str">
        <x:v>CONDOMÍNIO CYRELA ON THE PARC BY YOO RESIDENCES</x:v>
      </x:c>
      <x:c r="B56" s="22" t="str">
        <x:v>CONDOMÍNIO CYRELA THE PARC BY YOO RESIDENCES</x:v>
      </x:c>
      <x:c r="C56" s="22" t="str">
        <x:v>Provável</x:v>
      </x:c>
      <x:c r="D56" s="22" t="str">
        <x:v>ativo</x:v>
      </x:c>
      <x:c r="E56" s="39" t="str">
        <x:v>54.588.992/0001-49</x:v>
      </x:c>
      <x:c r="F56" s="22" t="n">
        <x:v>2</x:v>
      </x:c>
      <x:c r="G56" s="40" t="n">
        <x:v>14713.6</x:v>
      </x:c>
      <x:c r="H56" s="22" t="str">
        <x:v>Camila</x:v>
      </x:c>
    </x:row>
    <x:row r="57">
      <x:c r="A57" s="22" t="str">
        <x:v>CONDOMÍNIO EDIFÍCIO AIRPORT HOTELS E SUÍTES</x:v>
      </x:c>
      <x:c r="B57" s="22" t="str">
        <x:v>CONDOMÍNIO EDIFÍCIO AIRPORT HOTELS</x:v>
      </x:c>
      <x:c r="C57" s="22" t="str">
        <x:v>Provável</x:v>
      </x:c>
      <x:c r="D57" s="22" t="str">
        <x:v>ativo</x:v>
      </x:c>
      <x:c r="E57" s="39" t="str">
        <x:v>05.524.902/0001-40</x:v>
      </x:c>
      <x:c r="F57" s="22" t="n">
        <x:v>5</x:v>
      </x:c>
      <x:c r="G57" s="40" t="n">
        <x:v>24234.96</x:v>
      </x:c>
      <x:c r="H57" s="22" t="str">
        <x:v>Camila</x:v>
      </x:c>
    </x:row>
    <x:row r="58">
      <x:c r="A58" s="22" t="str">
        <x:v>CONDOMINIO PANAMBY PENTHOUSE</x:v>
      </x:c>
      <x:c r="B58" s="22" t="str">
        <x:v>CONDOMÍNIO PANAMBY PENTHOUSES</x:v>
      </x:c>
      <x:c r="C58" s="22" t="str">
        <x:v>Provável</x:v>
      </x:c>
      <x:c r="D58" s="22" t="str">
        <x:v>ativo</x:v>
      </x:c>
      <x:c r="E58" s="39" t="str">
        <x:v>24.977.773/0001-90</x:v>
      </x:c>
      <x:c r="F58" s="22" t="n">
        <x:v>2</x:v>
      </x:c>
      <x:c r="G58" s="40" t="n">
        <x:v>8394.43</x:v>
      </x:c>
      <x:c r="H58" s="22" t="str">
        <x:v>Camila</x:v>
      </x:c>
    </x:row>
    <x:row r="59">
      <x:c r="A59" s="22" t="str">
        <x:v>CONDOMÍNIO SQUARE GARDEN QUAD - STUDIOS</x:v>
      </x:c>
      <x:c r="B59" s="22" t="str">
        <x:v>CONDOMÍNIO SQUARE GARDEN CAMPO BELO STUDIOS</x:v>
      </x:c>
      <x:c r="C59" s="22" t="str">
        <x:v>Provável</x:v>
      </x:c>
      <x:c r="D59" s="22" t="str">
        <x:v>ativo</x:v>
      </x:c>
      <x:c r="E59" s="39" t="str">
        <x:v>52.151.457/0003-62</x:v>
      </x:c>
      <x:c r="F59" s="22" t="n">
        <x:v>11</x:v>
      </x:c>
      <x:c r="G59" s="40" t="n">
        <x:v>8163.779999999999</x:v>
      </x:c>
      <x:c r="H59" s="22" t="str">
        <x:v>Camila</x:v>
      </x:c>
    </x:row>
    <x:row r="60">
      <x:c r="A60" s="22" t="str">
        <x:v>CONDOMINIO TAMBORÉ</x:v>
      </x:c>
      <x:c r="B60" s="22" t="str">
        <x:v>SUBCONDOMÍNIO EDIFÍCIO OFFICE TAMBORÉ</x:v>
      </x:c>
      <x:c r="C60" s="22" t="str">
        <x:v>Provável</x:v>
      </x:c>
      <x:c r="D60" s="22" t="str">
        <x:v>ativo</x:v>
      </x:c>
      <x:c r="E60" s="39" t="str">
        <x:v>11.772.599/0001-06</x:v>
      </x:c>
      <x:c r="F60" s="22" t="n">
        <x:v>3</x:v>
      </x:c>
      <x:c r="G60" s="40" t="n">
        <x:v>4040.7300000000005</x:v>
      </x:c>
      <x:c r="H60" s="22" t="str">
        <x:v>Cronograma geral</x:v>
      </x:c>
    </x:row>
    <x:row r="61">
      <x:c r="A61" s="22" t="str">
        <x:v>CONDOMÍNIO VERDANA JARDIM PRUDÊNCIA – SETOR STUDIOS</x:v>
      </x:c>
      <x:c r="B61" s="22" t="str">
        <x:v>VERDANA SUITES JARDIM PRUDENCIA SETOR MORADIA TORRE 3</x:v>
      </x:c>
      <x:c r="C61" s="22" t="str">
        <x:v>Confirmado</x:v>
      </x:c>
      <x:c r="D61" s="22" t="str">
        <x:v>ativo</x:v>
      </x:c>
      <x:c r="E61" s="39" t="str">
        <x:v>57.897.276/0004-84</x:v>
      </x:c>
      <x:c r="F61" s="22" t="n">
        <x:v>4</x:v>
      </x:c>
      <x:c r="G61" s="40" t="n">
        <x:v>2597.66</x:v>
      </x:c>
      <x:c r="H61" s="22" t="str">
        <x:v>Dani</x:v>
      </x:c>
    </x:row>
    <x:row r="62">
      <x:c r="A62" s="22" t="str">
        <x:v>CONDOMINIO VILA ROMANA NOBRE (CLOCK VILA ROMANA )</x:v>
      </x:c>
      <x:c r="B62" s="22" t="str">
        <x:v>CLOCK VILA ROMANA</x:v>
      </x:c>
      <x:c r="C62" s="22" t="str">
        <x:v>Provável</x:v>
      </x:c>
      <x:c r="D62" s="22" t="str">
        <x:v>ativo</x:v>
      </x:c>
      <x:c r="E62" s="39" t="str">
        <x:v>42.216.619/0001-88</x:v>
      </x:c>
      <x:c r="F62" s="22" t="n">
        <x:v>1</x:v>
      </x:c>
      <x:c r="G62" s="40" t="n">
        <x:v>3244.93</x:v>
      </x:c>
      <x:c r="H62" s="22" t="str">
        <x:v>Dani</x:v>
      </x:c>
    </x:row>
    <x:row r="63">
      <x:c r="A63" s="22" t="str">
        <x:v>CONDOMINIO WEST SIDE - SANTO AMARO</x:v>
      </x:c>
      <x:c r="B63" s="22" t="str">
        <x:v>CONDOMÍNIO WEST SIDE</x:v>
      </x:c>
      <x:c r="C63" s="22" t="str">
        <x:v>Provável</x:v>
      </x:c>
      <x:c r="D63" s="22" t="str">
        <x:v>ativo</x:v>
      </x:c>
      <x:c r="E63" s="39" t="str">
        <x:v>41.502.011/0001-57</x:v>
      </x:c>
      <x:c r="F63" s="22" t="n">
        <x:v>1</x:v>
      </x:c>
      <x:c r="G63" s="40" t="n">
        <x:v>1938.17</x:v>
      </x:c>
      <x:c r="H63" s="22" t="str">
        <x:v>Dani</x:v>
      </x:c>
    </x:row>
    <x:row r="64">
      <x:c r="A64" s="22" t="str">
        <x:v>CONDOMINO LAS VENTANAS</x:v>
      </x:c>
      <x:c r="B64" s="22" t="str">
        <x:v>CONDOMÍNIO LAS VENTANAS</x:v>
      </x:c>
      <x:c r="C64" s="22" t="str">
        <x:v>Provável</x:v>
      </x:c>
      <x:c r="D64" s="22" t="str">
        <x:v>ativo</x:v>
      </x:c>
      <x:c r="E64" s="39" t="str">
        <x:v>22.246.106/0001-02</x:v>
      </x:c>
      <x:c r="F64" s="22" t="n">
        <x:v>1</x:v>
      </x:c>
      <x:c r="G64" s="40" t="n">
        <x:v>2033.06</x:v>
      </x:c>
      <x:c r="H64" s="22" t="str">
        <x:v>Dani</x:v>
      </x:c>
    </x:row>
    <x:row r="65">
      <x:c r="A65" s="22" t="str">
        <x:v>O Parque Torre Cipó</x:v>
      </x:c>
      <x:c r="B65" s="22" t="str">
        <x:v>CONDOMÍNIO O PARQUE TORRE DO CIPÓ</x:v>
      </x:c>
      <x:c r="C65" s="22" t="str">
        <x:v>Provável</x:v>
      </x:c>
      <x:c r="D65" s="22" t="str">
        <x:v>ativo</x:v>
      </x:c>
      <x:c r="E65" s="39" t="str">
        <x:v>52.073.626/0004-74</x:v>
      </x:c>
      <x:c r="F65" s="22" t="n">
        <x:v>3</x:v>
      </x:c>
      <x:c r="G65" s="40" t="n">
        <x:v>7969.429999999999</x:v>
      </x:c>
      <x:c r="H65" s="22" t="str">
        <x:v>Cronograma geral</x:v>
      </x:c>
    </x:row>
  </x:sheetData>
  <x:conditionalFormatting sqref="C2:C65">
    <x:cfRule type="containsText" dxfId="3" priority="1" operator="containsText" text="Não localizado"/>
    <x:cfRule type="containsText" dxfId="4" priority="2" operator="containsText" text="Provável"/>
    <x:cfRule type="containsText" dxfId="5" priority="3" operator="containsText" text="Confirmado"/>
  </x:conditionalFormatting>
  <x:pageMargins left="0.7" right="0.7" top="0.75" bottom="0.75" header="0.3" footer="0.3"/>
  <x:tableParts count="1">
    <x:tablePart xmlns:r="http://schemas.openxmlformats.org/officeDocument/2006/relationships" r:id="R359a8490ba4d4e1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44" hidden="0" customWidth="1"/>
    <x:col min="4" max="4" width="13" hidden="0" customWidth="1"/>
    <x:col min="5" max="5" width="13" hidden="0" customWidth="1"/>
    <x:col min="6" max="6" width="13" hidden="0" customWidth="1"/>
    <x:col min="7" max="7" width="70" hidden="0" customWidth="1"/>
  </x:cols>
  <x:sheetData>
    <x:row r="1">
      <x:c r="A1" s="44" t="str">
        <x:v>Origem</x:v>
      </x:c>
      <x:c r="B1" s="44" t="str">
        <x:v>Linha origem</x:v>
      </x:c>
      <x:c r="C1" s="44" t="str">
        <x:v>Condomínio</x:v>
      </x:c>
      <x:c r="D1" s="44" t="str">
        <x:v>Unidade</x:v>
      </x:c>
      <x:c r="E1" s="44" t="str">
        <x:v>Bloco</x:v>
      </x:c>
      <x:c r="F1" s="44" t="str">
        <x:v>Valor</x:v>
      </x:c>
      <x:c r="G1" s="44" t="str">
        <x:v>Motivo/anotação</x:v>
      </x:c>
    </x:row>
    <x:row r="2">
      <x:c r="A2" s="22" t="str">
        <x:v>Cronograma geral</x:v>
      </x:c>
      <x:c r="B2" s="22" t="n">
        <x:v>4</x:v>
      </x:c>
      <x:c r="C2" s="22" t="str">
        <x:v>CONDOMÍNIO SAFIRA</x:v>
      </x:c>
      <x:c r="D2" s="22" t="str">
        <x:v>16-01</x:v>
      </x:c>
      <x:c r="E2" s="22" t="str">
        <x:v>1</x:v>
      </x:c>
      <x:c r="F2" s="40" t="n">
        <x:v>388.86</x:v>
      </x:c>
      <x:c r="G2" s="22" t="str">
        <x:v>Cobrança: 11 96923-3074 e e-mail - 20/08 | Não possui debito</x:v>
      </x:c>
    </x:row>
    <x:row r="3">
      <x:c r="A3" s="22" t="str">
        <x:v>Cronograma geral</x:v>
      </x:c>
      <x:c r="B3" s="22" t="n">
        <x:v>13</x:v>
      </x:c>
      <x:c r="C3" s="22" t="str">
        <x:v>CONDOMÍNIO SAFIRA</x:v>
      </x:c>
      <x:c r="D3" s="22" t="str">
        <x:v>68-03</x:v>
      </x:c>
      <x:c r="E3" s="22" t="str">
        <x:v>3</x:v>
      </x:c>
      <x:c r="F3" s="40" t="n">
        <x:v>401.79</x:v>
      </x:c>
      <x:c r="G3" s="22" t="str">
        <x:v>Comprovante no zap | Cobrança: 11 95396-4197 e e-mail - 20/08 | Não possui debitos</x:v>
      </x:c>
    </x:row>
    <x:row r="4">
      <x:c r="A4" s="22" t="str">
        <x:v>Cronograma geral</x:v>
      </x:c>
      <x:c r="B4" s="22" t="n">
        <x:v>19</x:v>
      </x:c>
      <x:c r="C4" s="22" t="str">
        <x:v>CONDOMÍNIO SAFIRA</x:v>
      </x:c>
      <x:c r="D4" s="22" t="str">
        <x:v>61-05</x:v>
      </x:c>
      <x:c r="E4" s="22" t="str">
        <x:v>5</x:v>
      </x:c>
      <x:c r="F4" s="40" t="n">
        <x:v>401.79</x:v>
      </x:c>
      <x:c r="G4" s="22" t="str">
        <x:v>Cobrança: 11 97865-5062 e e-mail - 20/08 | Não possui debitos</x:v>
      </x:c>
    </x:row>
    <x:row r="5">
      <x:c r="A5" s="22" t="str">
        <x:v>Cronograma geral</x:v>
      </x:c>
      <x:c r="B5" s="22" t="n">
        <x:v>35</x:v>
      </x:c>
      <x:c r="C5" s="22" t="str">
        <x:v>COND. BEM MOEMA - STUDIOS ...</x:v>
      </x:c>
      <x:c r="D5" s="22" t="str">
        <x:v>1103</x:v>
      </x:c>
      <x:c r="E5" s="22" t="str">
        <x:v>0</x:v>
      </x:c>
      <x:c r="F5" s="40" t="n">
        <x:v>828.86</x:v>
      </x:c>
      <x:c r="G5" s="22" t="str">
        <x:v>Acordo com vencimento para o dia 20/08 | Cobrança: 11 98184-6112 e e-mail - 19/08 | Não possui debitos</x:v>
      </x:c>
    </x:row>
    <x:row r="6">
      <x:c r="A6" s="22" t="str">
        <x:v>Camila</x:v>
      </x:c>
      <x:c r="B6" s="22" t="n">
        <x:v>8</x:v>
      </x:c>
      <x:c r="C6" s="22" t="str">
        <x:v>CONDOMINIO VILA NATURA</x:v>
      </x:c>
      <x:c r="D6" s="22" t="str">
        <x:v>212 D</x:v>
      </x:c>
      <x:c r="E6" s="22" t="str">
        <x:v>D</x:v>
      </x:c>
      <x:c r="F6" s="40"/>
      <x:c r="G6" s="22" t="str">
        <x:v>Mandei msg para a Marcio para ver se porque as cotas sumiram | Cobrança realizada dia 19/08 por email e por whatsapp | A administradora resta resolvendo de forma interna</x:v>
      </x:c>
    </x:row>
    <x:row r="7">
      <x:c r="A7" s="22" t="str">
        <x:v>Dani</x:v>
      </x:c>
      <x:c r="B7" s="22" t="n">
        <x:v>19</x:v>
      </x:c>
      <x:c r="C7" s="22" t="str">
        <x:v>CONDOMÍNIO VERDANA JARDIM PRUDÊNCIA – SETOR RESIDENCIAL</x:v>
      </x:c>
      <x:c r="D7" s="22" t="str">
        <x:v>24-02</x:v>
      </x:c>
      <x:c r="E7" s="22" t="str">
        <x:v>2</x:v>
      </x:c>
      <x:c r="F7" s="40" t="n">
        <x:v>1349.23</x:v>
      </x:c>
      <x:c r="G7" s="22" t="str">
        <x:v>rodrigommteixeira@gmail.com | Aguardando retorno da adm sobre cota 07/2026 | Não possui debitos</x:v>
      </x:c>
    </x:row>
  </x:sheetData>
  <x:pageMargins left="0.7" right="0.7" top="0.75" bottom="0.75" header="0.3" footer="0.3"/>
  <x:tableParts count="1">
    <x:tablePart xmlns:r="http://schemas.openxmlformats.org/officeDocument/2006/relationships" r:id="Red0705201eaf42c5"/>
  </x:tableParts>
</x:worksheet>
</file>