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9a4f198eb46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f1fcfc4a400641db"/>
    <x:sheet xmlns:r="http://schemas.openxmlformats.org/officeDocument/2006/relationships" name="Detalhe por condomínio" sheetId="2" r:id="R262472b97d884d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R$&quot; #,##0.00"/>
    <x:numFmt numFmtId="201" formatCode="#,##0"/>
    <x:numFmt numFmtId="202" formatCode="@"/>
    <x:numFmt numFmtId="203" formatCode="yyyy-mm-dd"/>
  </x:numFmts>
  <x:fonts count="7">
    <x:font>
      <x:sz val="11"/>
      <x:name val="Carlito"/>
    </x:font>
    <x:font>
      <x:b/>
      <x:sz val="15"/>
      <x:color rgb="FFFFFFFF"/>
      <x:name val="Carlito"/>
    </x:font>
    <x:font>
      <x:sz val="11"/>
      <x:color rgb="FF155E75"/>
      <x:name val="Carlito"/>
    </x:font>
    <x:font>
      <x:b/>
      <x:sz val="14"/>
      <x:color rgb="FF020617"/>
      <x:name val="Carlito"/>
    </x:font>
    <x:font>
      <x:b/>
      <x:sz val="11"/>
      <x:color rgb="FFFFFFFF"/>
      <x:name val="Carlito"/>
    </x:font>
    <x:font>
      <x:b/>
      <x:sz val="13"/>
      <x:color rgb="FF0F172A"/>
      <x:name val="Carlito"/>
    </x:font>
    <x:font>
      <x:b/>
      <x:sz val="11"/>
      <x:color rgb="FF0F172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83344"/>
      </x:patternFill>
    </x:fill>
    <x:fill>
      <x:patternFill patternType="solid">
        <x:fgColor rgb="FFECFEFF"/>
      </x:patternFill>
    </x:fill>
    <x:fill>
      <x:patternFill patternType="solid">
        <x:fgColor rgb="FFF8FAFC"/>
      </x:patternFill>
    </x:fill>
    <x:fill>
      <x:patternFill patternType="solid">
        <x:fgColor rgb="FF075985"/>
      </x:patternFill>
    </x:fill>
    <x:fill>
      <x:patternFill patternType="solid">
        <x:fgColor rgb="FF0E7490"/>
      </x:patternFill>
    </x:fill>
    <x:fill>
      <x:patternFill patternType="solid">
        <x:fgColor rgb="FFDBEAFE"/>
      </x:patternFill>
    </x:fill>
    <x:fill>
      <x:patternFill patternType="solid">
        <x:fgColor rgb="FFE0F2FE"/>
      </x:patternFill>
    </x:fill>
  </x:fills>
  <x:borders count="13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right style="thin">
        <x:color rgb="FFE2E8F0"/>
      </x:right>
    </x:border>
    <x:border>
      <x:left style="thin">
        <x:color rgb="FFE2E8F0"/>
      </x:left>
      <x:right style="thin">
        <x:color rgb="FFE2E8F0"/>
      </x:right>
    </x:border>
    <x:border>
      <x:left style="thin">
        <x:color rgb="FFE2E8F0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2" xfId="0" applyNumberFormat="1" applyFont="1" applyFill="1" applyBorder="1"/>
    <x:xf numFmtId="203" fontId="0" fillId="0" borderId="2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0" borderId="3" xfId="0" applyNumberFormat="1" applyFont="1" applyFill="1" applyBorder="1"/>
    <x:xf numFmtId="202" fontId="0" fillId="0" borderId="4" xfId="0" applyNumberFormat="1" applyFont="1" applyFill="1" applyBorder="1"/>
    <x:xf numFmtId="202" fontId="0" fillId="0" borderId="5" xfId="0" applyNumberFormat="1" applyFont="1" applyFill="1" applyBorder="1"/>
    <x:xf numFmtId="203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202" fontId="0" fillId="0" borderId="7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202" fontId="0" fillId="0" borderId="10" xfId="0" applyNumberFormat="1" applyFont="1" applyFill="1" applyBorder="1"/>
    <x:xf numFmtId="202" fontId="0" fillId="0" borderId="11" xfId="0" applyNumberFormat="1" applyFont="1" applyFill="1" applyBorder="1"/>
    <x:xf numFmtId="203" fontId="0" fillId="0" borderId="11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0" fontId="0" fillId="0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a89f2dfd5646c6" /><Relationship Type="http://schemas.openxmlformats.org/officeDocument/2006/relationships/theme" Target="/xl/theme/theme1.xml" Id="R08b379803853445a" /><Relationship Type="http://schemas.openxmlformats.org/officeDocument/2006/relationships/sharedStrings" Target="/xl/sharedStrings.xml" Id="R6f326366ca5d4d15" /><Relationship Type="http://schemas.openxmlformats.org/officeDocument/2006/relationships/worksheet" Target="/xl/worksheets/sheet1.xml" Id="Rf1fcfc4a400641db" /><Relationship Type="http://schemas.openxmlformats.org/officeDocument/2006/relationships/worksheet" Target="/xl/worksheets/sheet2.xml" Id="R262472b97d884d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0" hidden="0" customWidth="1"/>
    <x:col min="4" max="4" width="12" hidden="0" customWidth="1"/>
    <x:col min="5" max="5" width="40" hidden="0" customWidth="1"/>
    <x:col min="6" max="6" width="14" hidden="0" customWidth="1"/>
    <x:col min="7" max="7" width="18" hidden="0" customWidth="1"/>
    <x:col min="8" max="8" width="20" hidden="0" customWidth="1"/>
    <x:col min="9" max="9" width="12" hidden="0" customWidth="1"/>
    <x:col min="10" max="10" width="18" hidden="0" customWidth="1"/>
  </x:cols>
  <x:sheetData>
    <x:row r="1">
      <x:c r="A1" s="2" t="str">
        <x:v>Relatório de cobranças novas e ativas por carteira e condomínio</x:v>
      </x:c>
    </x:row>
    <x:row r="2">
      <x:c r="A2" s="4" t="str">
        <x:v>Base: status Novo + Em cobrança ativa, sem judicialização · Gerado em 18/08/2026, 10:06:51</x:v>
      </x:c>
    </x:row>
    <x:row r="4">
      <x:c r="A4" s="6" t="str">
        <x:v>Carteiras</x:v>
      </x:c>
      <x:c r="B4" s="6" t="str">
        <x:v>Condomínios</x:v>
      </x:c>
      <x:c r="C4" s="6" t="str">
        <x:v>Unidades</x:v>
      </x:c>
      <x:c r="D4" s="6" t="str">
        <x:v>Novas</x:v>
      </x:c>
      <x:c r="E4" s="6" t="str">
        <x:v>Ativas</x:v>
      </x:c>
      <x:c r="F4" s="6" t="str">
        <x:v>Cobranças</x:v>
      </x:c>
      <x:c r="G4" s="7" t="str">
        <x:v>Valor atualizado</x:v>
      </x:c>
      <x:c r="H4" s="6" t="str">
        <x:v>Excluídas judiciais</x:v>
      </x:c>
    </x:row>
    <x:row r="5">
      <x:c r="A5" t="n">
        <x:v>4</x:v>
      </x:c>
      <x:c r="B5" t="n">
        <x:v>35</x:v>
      </x:c>
      <x:c r="C5" t="n">
        <x:v>374</x:v>
      </x:c>
      <x:c r="D5" t="n">
        <x:v>968</x:v>
      </x:c>
      <x:c r="E5" t="n">
        <x:v>6</x:v>
      </x:c>
      <x:c r="F5" t="n">
        <x:v>974</x:v>
      </x:c>
      <x:c r="G5" t="n">
        <x:v>961877.1</x:v>
      </x:c>
      <x:c r="H5" t="n">
        <x:v>1</x:v>
      </x:c>
    </x:row>
    <x:row r="8">
      <x:c r="A8" s="12" t="str">
        <x:v>Carteira</x:v>
      </x:c>
      <x:c r="B8" s="13" t="str">
        <x:v>Condomínio</x:v>
      </x:c>
      <x:c r="C8" s="13" t="str">
        <x:v>CNPJ</x:v>
      </x:c>
      <x:c r="D8" s="13" t="str">
        <x:v>Dia venc.</x:v>
      </x:c>
      <x:c r="E8" s="13" t="str">
        <x:v>Régua</x:v>
      </x:c>
      <x:c r="F8" s="13" t="str">
        <x:v>Unidades</x:v>
      </x:c>
      <x:c r="G8" s="13" t="str">
        <x:v>Novas</x:v>
      </x:c>
      <x:c r="H8" s="13" t="str">
        <x:v>Ativas</x:v>
      </x:c>
      <x:c r="I8" s="13" t="str">
        <x:v>Cobranças</x:v>
      </x:c>
      <x:c r="J8" s="14" t="str">
        <x:v>Valor atualizado</x:v>
      </x:c>
    </x:row>
    <x:row r="9">
      <x:c r="A9" s="15" t="str">
        <x:v>Azevedo Araújo</x:v>
      </x:c>
      <x:c r="B9" s="16" t="str">
        <x:v>CONDOMÍNIO BEM MOEMA - SETOR RESIDENCIAL</x:v>
      </x:c>
      <x:c r="C9" s="16" t="str">
        <x:v>63.819.144/0001-94</x:v>
      </x:c>
      <x:c r="D9" s="16" t="n">
        <x:v>10</x:v>
      </x:c>
      <x:c r="E9" s="16" t="str">
        <x:v>D+30</x:v>
      </x:c>
      <x:c r="F9" s="17" t="n">
        <x:v>7</x:v>
      </x:c>
      <x:c r="G9" s="17" t="n">
        <x:v>8</x:v>
      </x:c>
      <x:c r="H9" s="17" t="n">
        <x:v>2</x:v>
      </x:c>
      <x:c r="I9" s="17" t="n">
        <x:v>10</x:v>
      </x:c>
      <x:c r="J9" s="18" t="n">
        <x:v>24253.98</x:v>
      </x:c>
    </x:row>
    <x:row r="10">
      <x:c r="A10" s="15" t="str">
        <x:v>Azevedo Araújo</x:v>
      </x:c>
      <x:c r="B10" s="16" t="str">
        <x:v>CONDOMÍNIO BEM MOEMA - SETOR STUDIOS</x:v>
      </x:c>
      <x:c r="C10" s="16" t="str">
        <x:v>63.819.144/0003-56</x:v>
      </x:c>
      <x:c r="D10" s="16" t="n">
        <x:v>10</x:v>
      </x:c>
      <x:c r="E10" s="16" t="str">
        <x:v>D+30</x:v>
      </x:c>
      <x:c r="F10" s="17" t="n">
        <x:v>4</x:v>
      </x:c>
      <x:c r="G10" s="17" t="n">
        <x:v>8</x:v>
      </x:c>
      <x:c r="H10" s="17" t="n">
        <x:v>0</x:v>
      </x:c>
      <x:c r="I10" s="17" t="n">
        <x:v>8</x:v>
      </x:c>
      <x:c r="J10" s="18" t="n">
        <x:v>5736.62</x:v>
      </x:c>
    </x:row>
    <x:row r="11">
      <x:c r="A11" s="15" t="str">
        <x:v>Azevedo Araújo</x:v>
      </x:c>
      <x:c r="B11" s="16" t="str">
        <x:v>CONDOMINIO SAFIRA</x:v>
      </x:c>
      <x:c r="C11" s="16" t="str">
        <x:v>55.361.065/0001-54</x:v>
      </x:c>
      <x:c r="D11" s="16" t="n">
        <x:v>10</x:v>
      </x:c>
      <x:c r="E11" s="16" t="str">
        <x:v>D+30</x:v>
      </x:c>
      <x:c r="F11" s="17" t="n">
        <x:v>54</x:v>
      </x:c>
      <x:c r="G11" s="17" t="n">
        <x:v>248</x:v>
      </x:c>
      <x:c r="H11" s="17" t="n">
        <x:v>1</x:v>
      </x:c>
      <x:c r="I11" s="17" t="n">
        <x:v>249</x:v>
      </x:c>
      <x:c r="J11" s="18" t="n">
        <x:v>116130.09</x:v>
      </x:c>
    </x:row>
    <x:row r="12">
      <x:c r="A12" s="15" t="str">
        <x:v>Azevedo Araújo</x:v>
      </x:c>
      <x:c r="B12" s="16" t="str">
        <x:v>Vn Casa Topazio</x:v>
      </x:c>
      <x:c r="C12" s="16" t="str">
        <x:v>27.859.053/0001-19</x:v>
      </x:c>
      <x:c r="D12" s="16" t="n">
        <x:v>10</x:v>
      </x:c>
      <x:c r="E12" s="16" t="str">
        <x:v>D+30</x:v>
      </x:c>
      <x:c r="F12" s="17" t="n">
        <x:v>10</x:v>
      </x:c>
      <x:c r="G12" s="17" t="n">
        <x:v>22</x:v>
      </x:c>
      <x:c r="H12" s="17" t="n">
        <x:v>0</x:v>
      </x:c>
      <x:c r="I12" s="17" t="n">
        <x:v>22</x:v>
      </x:c>
      <x:c r="J12" s="18" t="n">
        <x:v>24002.01</x:v>
      </x:c>
    </x:row>
    <x:row r="13">
      <x:c r="A13" s="15" t="str">
        <x:v>GEKALI</x:v>
      </x:c>
      <x:c r="B13" s="16" t="str">
        <x:v>CONDOMÍNIO PANORAMA VILA ROMANA</x:v>
      </x:c>
      <x:c r="C13" s="16" t="str">
        <x:v>52.989.578/0001-16</x:v>
      </x:c>
      <x:c r="D13" s="16" t="n">
        <x:v>5</x:v>
      </x:c>
      <x:c r="E13" s="16" t="str">
        <x:v>D+30</x:v>
      </x:c>
      <x:c r="F13" s="17" t="n">
        <x:v>2</x:v>
      </x:c>
      <x:c r="G13" s="17" t="n">
        <x:v>2</x:v>
      </x:c>
      <x:c r="H13" s="17" t="n">
        <x:v>0</x:v>
      </x:c>
      <x:c r="I13" s="17" t="n">
        <x:v>2</x:v>
      </x:c>
      <x:c r="J13" s="18" t="n">
        <x:v>7485.04</x:v>
      </x:c>
    </x:row>
    <x:row r="14">
      <x:c r="A14" s="15" t="str">
        <x:v>GEKALI</x:v>
      </x:c>
      <x:c r="B14" s="16" t="str">
        <x:v>CONDOMÍNIO RESIDENCIAL METROCASA MORUMBI</x:v>
      </x:c>
      <x:c r="C14" s="16" t="str">
        <x:v>53.344.499/0001-10</x:v>
      </x:c>
      <x:c r="D14" s="16" t="n">
        <x:v>10</x:v>
      </x:c>
      <x:c r="E14" s="16" t="str">
        <x:v>D+30</x:v>
      </x:c>
      <x:c r="F14" s="17" t="n">
        <x:v>29</x:v>
      </x:c>
      <x:c r="G14" s="17" t="n">
        <x:v>97</x:v>
      </x:c>
      <x:c r="H14" s="17" t="n">
        <x:v>0</x:v>
      </x:c>
      <x:c r="I14" s="17" t="n">
        <x:v>97</x:v>
      </x:c>
      <x:c r="J14" s="18" t="n">
        <x:v>17548.44</x:v>
      </x:c>
    </x:row>
    <x:row r="15">
      <x:c r="A15" s="15" t="str">
        <x:v>GEKALI</x:v>
      </x:c>
      <x:c r="B15" s="16" t="str">
        <x:v>EDIFÍCIO MOEMA FLAT SERVICE</x:v>
      </x:c>
      <x:c r="C15" s="16" t="str">
        <x:v>04.632.843/0001-61</x:v>
      </x:c>
      <x:c r="D15" s="16" t="n">
        <x:v>10</x:v>
      </x:c>
      <x:c r="E15" s="16" t="str">
        <x:v>D+30</x:v>
      </x:c>
      <x:c r="F15" s="17" t="n">
        <x:v>6</x:v>
      </x:c>
      <x:c r="G15" s="17" t="n">
        <x:v>19</x:v>
      </x:c>
      <x:c r="H15" s="17" t="n">
        <x:v>0</x:v>
      </x:c>
      <x:c r="I15" s="17" t="n">
        <x:v>19</x:v>
      </x:c>
      <x:c r="J15" s="18" t="n">
        <x:v>41094.67</x:v>
      </x:c>
    </x:row>
    <x:row r="16">
      <x:c r="A16" s="15" t="str">
        <x:v>GEKALI</x:v>
      </x:c>
      <x:c r="B16" s="16" t="str">
        <x:v>SUBCONDOMINIO EDIFICIO OFFICE TAMBORE</x:v>
      </x:c>
      <x:c r="C16" s="16" t="str">
        <x:v>11.772.599/0001-06</x:v>
      </x:c>
      <x:c r="D16" s="16" t="n">
        <x:v>10</x:v>
      </x:c>
      <x:c r="E16" s="16" t="str">
        <x:v>D+30</x:v>
      </x:c>
      <x:c r="F16" s="17" t="n">
        <x:v>17</x:v>
      </x:c>
      <x:c r="G16" s="17" t="n">
        <x:v>24</x:v>
      </x:c>
      <x:c r="H16" s="17" t="n">
        <x:v>1</x:v>
      </x:c>
      <x:c r="I16" s="17" t="n">
        <x:v>25</x:v>
      </x:c>
      <x:c r="J16" s="18" t="n">
        <x:v>30317.42</x:v>
      </x:c>
    </x:row>
    <x:row r="17">
      <x:c r="A17" s="15" t="str">
        <x:v>Genske Advogados</x:v>
      </x:c>
      <x:c r="B17" s="16" t="str">
        <x:v>ALIVE HOME CLUB BELEM</x:v>
      </x:c>
      <x:c r="C17" s="16" t="str">
        <x:v>59.383.451/0001-06</x:v>
      </x:c>
      <x:c r="D17" s="16" t="n">
        <x:v>10</x:v>
      </x:c>
      <x:c r="E17" s="16" t="str">
        <x:v>D+30 · pré-jurídico em D+60</x:v>
      </x:c>
      <x:c r="F17" s="17" t="n">
        <x:v>25</x:v>
      </x:c>
      <x:c r="G17" s="17" t="n">
        <x:v>65</x:v>
      </x:c>
      <x:c r="H17" s="17" t="n">
        <x:v>0</x:v>
      </x:c>
      <x:c r="I17" s="17" t="n">
        <x:v>65</x:v>
      </x:c>
      <x:c r="J17" s="18" t="n">
        <x:v>53210.94</x:v>
      </x:c>
    </x:row>
    <x:row r="18">
      <x:c r="A18" s="15" t="str">
        <x:v>Genske Advogados</x:v>
      </x:c>
      <x:c r="B18" s="16" t="str">
        <x:v>CLOCK VILA ROMANA</x:v>
      </x:c>
      <x:c r="C18" s="16" t="str">
        <x:v>42.216.619/0001-88</x:v>
      </x:c>
      <x:c r="D18" s="16" t="n">
        <x:v>10</x:v>
      </x:c>
      <x:c r="E18" s="16" t="str">
        <x:v>D+30 · pré-jurídico em D+60</x:v>
      </x:c>
      <x:c r="F18" s="17" t="n">
        <x:v>1</x:v>
      </x:c>
      <x:c r="G18" s="17" t="n">
        <x:v>1</x:v>
      </x:c>
      <x:c r="H18" s="17" t="n">
        <x:v>0</x:v>
      </x:c>
      <x:c r="I18" s="17" t="n">
        <x:v>1</x:v>
      </x:c>
      <x:c r="J18" s="18" t="n">
        <x:v>3242.79</x:v>
      </x:c>
    </x:row>
    <x:row r="19">
      <x:c r="A19" s="15" t="str">
        <x:v>Genske Advogados</x:v>
      </x:c>
      <x:c r="B19" s="16" t="str">
        <x:v>CONDOMÍNIO ALPHA STAY</x:v>
      </x:c>
      <x:c r="C19" s="16" t="str">
        <x:v>22.191.048/0001-67</x:v>
      </x:c>
      <x:c r="D19" s="16" t="n">
        <x:v>5</x:v>
      </x:c>
      <x:c r="E19" s="16" t="str">
        <x:v>D+60 · pré-jurídico em D+90</x:v>
      </x:c>
      <x:c r="F19" s="17" t="n">
        <x:v>3</x:v>
      </x:c>
      <x:c r="G19" s="17" t="n">
        <x:v>8</x:v>
      </x:c>
      <x:c r="H19" s="17" t="n">
        <x:v>0</x:v>
      </x:c>
      <x:c r="I19" s="17" t="n">
        <x:v>8</x:v>
      </x:c>
      <x:c r="J19" s="18" t="n">
        <x:v>10232.29</x:v>
      </x:c>
    </x:row>
    <x:row r="20">
      <x:c r="A20" s="15" t="str">
        <x:v>Genske Advogados</x:v>
      </x:c>
      <x:c r="B20" s="16" t="str">
        <x:v>CONDOMÍNIO BOSQUE MARAJOARA</x:v>
      </x:c>
      <x:c r="C20" s="16" t="str">
        <x:v>32.670.404/0001-89</x:v>
      </x:c>
      <x:c r="D20" s="16" t="n">
        <x:v>10</x:v>
      </x:c>
      <x:c r="E20" s="16" t="str">
        <x:v>D+30 · pré-jurídico em D+60</x:v>
      </x:c>
      <x:c r="F20" s="17" t="n">
        <x:v>6</x:v>
      </x:c>
      <x:c r="G20" s="17" t="n">
        <x:v>7</x:v>
      </x:c>
      <x:c r="H20" s="17" t="n">
        <x:v>0</x:v>
      </x:c>
      <x:c r="I20" s="17" t="n">
        <x:v>7</x:v>
      </x:c>
      <x:c r="J20" s="18" t="n">
        <x:v>6794.65</x:v>
      </x:c>
    </x:row>
    <x:row r="21">
      <x:c r="A21" s="15" t="str">
        <x:v>Genske Advogados</x:v>
      </x:c>
      <x:c r="B21" s="16" t="str">
        <x:v>CONDOMÍNIO CÁDIZ JARDIM PRUDÊNCIA</x:v>
      </x:c>
      <x:c r="C21" s="16" t="str">
        <x:v>47.908.154/0001-40</x:v>
      </x:c>
      <x:c r="D21" s="16" t="n">
        <x:v>5</x:v>
      </x:c>
      <x:c r="E21" s="16" t="str">
        <x:v>D+45 · pré-jurídico em D+75</x:v>
      </x:c>
      <x:c r="F21" s="17" t="n">
        <x:v>13</x:v>
      </x:c>
      <x:c r="G21" s="17" t="n">
        <x:v>28</x:v>
      </x:c>
      <x:c r="H21" s="17" t="n">
        <x:v>0</x:v>
      </x:c>
      <x:c r="I21" s="17" t="n">
        <x:v>28</x:v>
      </x:c>
      <x:c r="J21" s="18" t="n">
        <x:v>16734.61</x:v>
      </x:c>
    </x:row>
    <x:row r="22">
      <x:c r="A22" s="15" t="str">
        <x:v>Genske Advogados</x:v>
      </x:c>
      <x:c r="B22" s="16" t="str">
        <x:v>CONDOMÍNIO CAROLINE MAHAL</x:v>
      </x:c>
      <x:c r="C22" s="16" t="str">
        <x:v>05.032.159/0001-01</x:v>
      </x:c>
      <x:c r="D22" s="16" t="n">
        <x:v>2</x:v>
      </x:c>
      <x:c r="E22" s="16" t="str">
        <x:v>D+30 · pré-jurídico em D+60</x:v>
      </x:c>
      <x:c r="F22" s="17" t="n">
        <x:v>2</x:v>
      </x:c>
      <x:c r="G22" s="17" t="n">
        <x:v>8</x:v>
      </x:c>
      <x:c r="H22" s="17" t="n">
        <x:v>0</x:v>
      </x:c>
      <x:c r="I22" s="17" t="n">
        <x:v>8</x:v>
      </x:c>
      <x:c r="J22" s="18" t="n">
        <x:v>85180.15</x:v>
      </x:c>
    </x:row>
    <x:row r="23">
      <x:c r="A23" s="15" t="str">
        <x:v>Genske Advogados</x:v>
      </x:c>
      <x:c r="B23" s="16" t="str">
        <x:v>CONDOMÍNIO EDIFÍCIO CACIQUE</x:v>
      </x:c>
      <x:c r="C23" s="16" t="str">
        <x:v>55.234.678/0001-20</x:v>
      </x:c>
      <x:c r="D23" s="16" t="n">
        <x:v>1</x:v>
      </x:c>
      <x:c r="E23" s="16" t="str">
        <x:v>D+30 · pré-jurídico em D+60</x:v>
      </x:c>
      <x:c r="F23" s="17" t="n">
        <x:v>8</x:v>
      </x:c>
      <x:c r="G23" s="17" t="n">
        <x:v>28</x:v>
      </x:c>
      <x:c r="H23" s="17" t="n">
        <x:v>1</x:v>
      </x:c>
      <x:c r="I23" s="17" t="n">
        <x:v>29</x:v>
      </x:c>
      <x:c r="J23" s="18" t="n">
        <x:v>23674.2</x:v>
      </x:c>
    </x:row>
    <x:row r="24">
      <x:c r="A24" s="15" t="str">
        <x:v>Genske Advogados</x:v>
      </x:c>
      <x:c r="B24" s="16" t="str">
        <x:v>CONDOMINIO EDIFICIO ILIADA</x:v>
      </x:c>
      <x:c r="C24" s="16" t="str">
        <x:v>53.829.495/0001-22</x:v>
      </x:c>
      <x:c r="D24" s="16" t="n">
        <x:v>10</x:v>
      </x:c>
      <x:c r="E24" s="16" t="str">
        <x:v>D+30 · pré-jurídico em D+60</x:v>
      </x:c>
      <x:c r="F24" s="17" t="n">
        <x:v>2</x:v>
      </x:c>
      <x:c r="G24" s="17" t="n">
        <x:v>2</x:v>
      </x:c>
      <x:c r="H24" s="17" t="n">
        <x:v>0</x:v>
      </x:c>
      <x:c r="I24" s="17" t="n">
        <x:v>2</x:v>
      </x:c>
      <x:c r="J24" s="18" t="n">
        <x:v>3089.19</x:v>
      </x:c>
    </x:row>
    <x:row r="25">
      <x:c r="A25" s="15" t="str">
        <x:v>Genske Advogados</x:v>
      </x:c>
      <x:c r="B25" s="16" t="str">
        <x:v>CONDOMÍNIO EDIFÍCIO IMPERIAL BERRINI OFFICES</x:v>
      </x:c>
      <x:c r="C25" s="16" t="str">
        <x:v>02.498.495/0001-56</x:v>
      </x:c>
      <x:c r="D25" s="16" t="n">
        <x:v>5</x:v>
      </x:c>
      <x:c r="E25" s="16" t="str">
        <x:v>D+60 · pré-jurídico em D+90</x:v>
      </x:c>
      <x:c r="F25" s="17" t="n">
        <x:v>5</x:v>
      </x:c>
      <x:c r="G25" s="17" t="n">
        <x:v>16</x:v>
      </x:c>
      <x:c r="H25" s="17" t="n">
        <x:v>0</x:v>
      </x:c>
      <x:c r="I25" s="17" t="n">
        <x:v>16</x:v>
      </x:c>
      <x:c r="J25" s="18" t="n">
        <x:v>17382.72</x:v>
      </x:c>
    </x:row>
    <x:row r="26">
      <x:c r="A26" s="15" t="str">
        <x:v>Genske Advogados</x:v>
      </x:c>
      <x:c r="B26" s="16" t="str">
        <x:v>CONDOMÍNIO EDIFÍCIO LARA</x:v>
      </x:c>
      <x:c r="C26" s="16" t="str">
        <x:v>03.820.163/0001-09</x:v>
      </x:c>
      <x:c r="D26" s="16" t="n">
        <x:v>10</x:v>
      </x:c>
      <x:c r="E26" s="16" t="str">
        <x:v>D+60 · pré-jurídico em D+90</x:v>
      </x:c>
      <x:c r="F26" s="17" t="n">
        <x:v>2</x:v>
      </x:c>
      <x:c r="G26" s="17" t="n">
        <x:v>7</x:v>
      </x:c>
      <x:c r="H26" s="17" t="n">
        <x:v>0</x:v>
      </x:c>
      <x:c r="I26" s="17" t="n">
        <x:v>7</x:v>
      </x:c>
      <x:c r="J26" s="18" t="n">
        <x:v>12330.71</x:v>
      </x:c>
    </x:row>
    <x:row r="27">
      <x:c r="A27" s="15" t="str">
        <x:v>Genske Advogados</x:v>
      </x:c>
      <x:c r="B27" s="16" t="str">
        <x:v>CONDOMÍNIO EDIFÍCIO OASIS</x:v>
      </x:c>
      <x:c r="C27" s="16" t="str">
        <x:v>10.933.934/0001-30</x:v>
      </x:c>
      <x:c r="D27" s="16" t="n">
        <x:v>5</x:v>
      </x:c>
      <x:c r="E27" s="16" t="str">
        <x:v>D+60 · pré-jurídico em D+90</x:v>
      </x:c>
      <x:c r="F27" s="17" t="n">
        <x:v>7</x:v>
      </x:c>
      <x:c r="G27" s="17" t="n">
        <x:v>12</x:v>
      </x:c>
      <x:c r="H27" s="17" t="n">
        <x:v>0</x:v>
      </x:c>
      <x:c r="I27" s="17" t="n">
        <x:v>12</x:v>
      </x:c>
      <x:c r="J27" s="18" t="n">
        <x:v>13690.93</x:v>
      </x:c>
    </x:row>
    <x:row r="28">
      <x:c r="A28" s="15" t="str">
        <x:v>Genske Advogados</x:v>
      </x:c>
      <x:c r="B28" s="16" t="str">
        <x:v>CONDOMINIO EDIFICIO SAO MANUEL</x:v>
      </x:c>
      <x:c r="C28" s="16" t="str">
        <x:v>03.811.371/0001-41</x:v>
      </x:c>
      <x:c r="D28" s="16" t="n">
        <x:v>10</x:v>
      </x:c>
      <x:c r="E28" s="16" t="str">
        <x:v>D+30 · pré-jurídico em D+60</x:v>
      </x:c>
      <x:c r="F28" s="17" t="n">
        <x:v>4</x:v>
      </x:c>
      <x:c r="G28" s="17" t="n">
        <x:v>12</x:v>
      </x:c>
      <x:c r="H28" s="17" t="n">
        <x:v>0</x:v>
      </x:c>
      <x:c r="I28" s="17" t="n">
        <x:v>12</x:v>
      </x:c>
      <x:c r="J28" s="18" t="n">
        <x:v>3822.12</x:v>
      </x:c>
    </x:row>
    <x:row r="29">
      <x:c r="A29" s="15" t="str">
        <x:v>Genske Advogados</x:v>
      </x:c>
      <x:c r="B29" s="16" t="str">
        <x:v>CONDOMÍNIO IL FARO</x:v>
      </x:c>
      <x:c r="C29" s="16" t="str">
        <x:v>47.288.221/0001-70</x:v>
      </x:c>
      <x:c r="D29" s="16" t="n">
        <x:v>10</x:v>
      </x:c>
      <x:c r="E29" s="16" t="str">
        <x:v>D+60 · pré-jurídico em D+90</x:v>
      </x:c>
      <x:c r="F29" s="17" t="n">
        <x:v>2</x:v>
      </x:c>
      <x:c r="G29" s="17" t="n">
        <x:v>2</x:v>
      </x:c>
      <x:c r="H29" s="17" t="n">
        <x:v>0</x:v>
      </x:c>
      <x:c r="I29" s="17" t="n">
        <x:v>2</x:v>
      </x:c>
      <x:c r="J29" s="18" t="n">
        <x:v>8684.69</x:v>
      </x:c>
    </x:row>
    <x:row r="30">
      <x:c r="A30" s="15" t="str">
        <x:v>Genske Advogados</x:v>
      </x:c>
      <x:c r="B30" s="16" t="str">
        <x:v>CONDOMÍNIO K360º HUMBERTO I COMERCIAL</x:v>
      </x:c>
      <x:c r="C30" s="16" t="str">
        <x:v>50.887.640/0003-03</x:v>
      </x:c>
      <x:c r="D30" s="16" t="n">
        <x:v>10</x:v>
      </x:c>
      <x:c r="E30" s="16" t="str">
        <x:v>D+30</x:v>
      </x:c>
      <x:c r="F30" s="17" t="n">
        <x:v>3</x:v>
      </x:c>
      <x:c r="G30" s="17" t="n">
        <x:v>14</x:v>
      </x:c>
      <x:c r="H30" s="17" t="n">
        <x:v>0</x:v>
      </x:c>
      <x:c r="I30" s="17" t="n">
        <x:v>14</x:v>
      </x:c>
      <x:c r="J30" s="18" t="n">
        <x:v>11558.95</x:v>
      </x:c>
    </x:row>
    <x:row r="31">
      <x:c r="A31" s="15" t="str">
        <x:v>Genske Advogados</x:v>
      </x:c>
      <x:c r="B31" s="16" t="str">
        <x:v>CONDOMÍNIO K360º HUMBERTO I-RESIDENCIAL</x:v>
      </x:c>
      <x:c r="C31" s="16" t="str">
        <x:v>50.887.640/0002-14</x:v>
      </x:c>
      <x:c r="D31" s="16" t="n">
        <x:v>10</x:v>
      </x:c>
      <x:c r="E31" s="16" t="str">
        <x:v>D+30</x:v>
      </x:c>
      <x:c r="F31" s="17" t="n">
        <x:v>4</x:v>
      </x:c>
      <x:c r="G31" s="17" t="n">
        <x:v>11</x:v>
      </x:c>
      <x:c r="H31" s="17" t="n">
        <x:v>0</x:v>
      </x:c>
      <x:c r="I31" s="17" t="n">
        <x:v>11</x:v>
      </x:c>
      <x:c r="J31" s="18" t="n">
        <x:v>7642.99</x:v>
      </x:c>
    </x:row>
    <x:row r="32">
      <x:c r="A32" s="15" t="str">
        <x:v>Genske Advogados</x:v>
      </x:c>
      <x:c r="B32" s="16" t="str">
        <x:v>CONDOMÍNIO MAISON D'ORSAY</x:v>
      </x:c>
      <x:c r="C32" s="16" t="str">
        <x:v>07.439.062/0001-43</x:v>
      </x:c>
      <x:c r="D32" s="16" t="n">
        <x:v>7</x:v>
      </x:c>
      <x:c r="E32" s="16" t="str">
        <x:v>D+90 · pré-jurídico em D+120</x:v>
      </x:c>
      <x:c r="F32" s="17" t="n">
        <x:v>1</x:v>
      </x:c>
      <x:c r="G32" s="17" t="n">
        <x:v>1</x:v>
      </x:c>
      <x:c r="H32" s="17" t="n">
        <x:v>0</x:v>
      </x:c>
      <x:c r="I32" s="17" t="n">
        <x:v>1</x:v>
      </x:c>
      <x:c r="J32" s="18" t="n">
        <x:v>1713.75</x:v>
      </x:c>
    </x:row>
    <x:row r="33">
      <x:c r="A33" s="15" t="str">
        <x:v>Genske Advogados</x:v>
      </x:c>
      <x:c r="B33" s="16" t="str">
        <x:v>CONDOMÍNIO NEW WAY</x:v>
      </x:c>
      <x:c r="C33" s="16" t="str">
        <x:v>23.896.621/0001-09</x:v>
      </x:c>
      <x:c r="D33" s="16" t="n">
        <x:v>10</x:v>
      </x:c>
      <x:c r="E33" s="16" t="str">
        <x:v>D+60 · pré-jurídico em D+90</x:v>
      </x:c>
      <x:c r="F33" s="17" t="n">
        <x:v>25</x:v>
      </x:c>
      <x:c r="G33" s="17" t="n">
        <x:v>41</x:v>
      </x:c>
      <x:c r="H33" s="17" t="n">
        <x:v>1</x:v>
      </x:c>
      <x:c r="I33" s="17" t="n">
        <x:v>42</x:v>
      </x:c>
      <x:c r="J33" s="18" t="n">
        <x:v>39914.7</x:v>
      </x:c>
    </x:row>
    <x:row r="34">
      <x:c r="A34" s="15" t="str">
        <x:v>Genske Advogados</x:v>
      </x:c>
      <x:c r="B34" s="16" t="str">
        <x:v>CONDOMÍNIO RAIZES DA MATA</x:v>
      </x:c>
      <x:c r="C34" s="16" t="str">
        <x:v>08.422.331/0001-21</x:v>
      </x:c>
      <x:c r="D34" s="16" t="n">
        <x:v>1</x:v>
      </x:c>
      <x:c r="E34" s="16" t="str">
        <x:v>D+90 · pré-jurídico em D+120</x:v>
      </x:c>
      <x:c r="F34" s="17" t="n">
        <x:v>5</x:v>
      </x:c>
      <x:c r="G34" s="17" t="n">
        <x:v>19</x:v>
      </x:c>
      <x:c r="H34" s="17" t="n">
        <x:v>0</x:v>
      </x:c>
      <x:c r="I34" s="17" t="n">
        <x:v>19</x:v>
      </x:c>
      <x:c r="J34" s="18" t="n">
        <x:v>36905.3</x:v>
      </x:c>
    </x:row>
    <x:row r="35">
      <x:c r="A35" s="15" t="str">
        <x:v>Genske Advogados</x:v>
      </x:c>
      <x:c r="B35" s="16" t="str">
        <x:v>CONDOMINIO RESERVA BUTANTA</x:v>
      </x:c>
      <x:c r="C35" s="16" t="str">
        <x:v>18.777.394/0001-54</x:v>
      </x:c>
      <x:c r="D35" s="16" t="n">
        <x:v>10</x:v>
      </x:c>
      <x:c r="E35" s="16" t="str">
        <x:v>D+30 · pré-jurídico em D+60</x:v>
      </x:c>
      <x:c r="F35" s="17" t="n">
        <x:v>6</x:v>
      </x:c>
      <x:c r="G35" s="17" t="n">
        <x:v>12</x:v>
      </x:c>
      <x:c r="H35" s="17" t="n">
        <x:v>0</x:v>
      </x:c>
      <x:c r="I35" s="17" t="n">
        <x:v>12</x:v>
      </x:c>
      <x:c r="J35" s="18" t="n">
        <x:v>13758.66</x:v>
      </x:c>
    </x:row>
    <x:row r="36">
      <x:c r="A36" s="15" t="str">
        <x:v>Genske Advogados</x:v>
      </x:c>
      <x:c r="B36" s="16" t="str">
        <x:v>CONDOMÍNIO RESIDENCIAL MAIS ESTILO &amp; DESIGN MORUMBI</x:v>
      </x:c>
      <x:c r="C36" s="16" t="str">
        <x:v>19.436.901/0001-59</x:v>
      </x:c>
      <x:c r="D36" s="16" t="n">
        <x:v>10</x:v>
      </x:c>
      <x:c r="E36" s="16" t="str">
        <x:v>D+30 · pré-jurídico em D+60</x:v>
      </x:c>
      <x:c r="F36" s="17" t="n">
        <x:v>5</x:v>
      </x:c>
      <x:c r="G36" s="17" t="n">
        <x:v>13</x:v>
      </x:c>
      <x:c r="H36" s="17" t="n">
        <x:v>0</x:v>
      </x:c>
      <x:c r="I36" s="17" t="n">
        <x:v>13</x:v>
      </x:c>
      <x:c r="J36" s="18" t="n">
        <x:v>19147.23</x:v>
      </x:c>
    </x:row>
    <x:row r="37">
      <x:c r="A37" s="15" t="str">
        <x:v>Genske Advogados</x:v>
      </x:c>
      <x:c r="B37" s="16" t="str">
        <x:v>CONDOMÍNIO SQUARE GUARULHOS</x:v>
      </x:c>
      <x:c r="C37" s="16" t="str">
        <x:v>14.234.598/0001-98</x:v>
      </x:c>
      <x:c r="D37" s="16" t="n">
        <x:v>8</x:v>
      </x:c>
      <x:c r="E37" s="16" t="str">
        <x:v>D+30 · pré-jurídico em D+60</x:v>
      </x:c>
      <x:c r="F37" s="17" t="n">
        <x:v>4</x:v>
      </x:c>
      <x:c r="G37" s="17" t="n">
        <x:v>4</x:v>
      </x:c>
      <x:c r="H37" s="17" t="n">
        <x:v>0</x:v>
      </x:c>
      <x:c r="I37" s="17" t="n">
        <x:v>4</x:v>
      </x:c>
      <x:c r="J37" s="18" t="n">
        <x:v>11293.61</x:v>
      </x:c>
    </x:row>
    <x:row r="38">
      <x:c r="A38" s="15" t="str">
        <x:v>Genske Advogados</x:v>
      </x:c>
      <x:c r="B38" s="16" t="str">
        <x:v>CONDOMINIO VIEW BUTANTÃ</x:v>
      </x:c>
      <x:c r="C38" s="16" t="str">
        <x:v>51.776.364/0001-07</x:v>
      </x:c>
      <x:c r="D38" s="16" t="n">
        <x:v>10</x:v>
      </x:c>
      <x:c r="E38" s="16" t="str">
        <x:v>D+60 · pré-jurídico em D+90</x:v>
      </x:c>
      <x:c r="F38" s="17" t="n">
        <x:v>11</x:v>
      </x:c>
      <x:c r="G38" s="17" t="n">
        <x:v>17</x:v>
      </x:c>
      <x:c r="H38" s="17" t="n">
        <x:v>0</x:v>
      </x:c>
      <x:c r="I38" s="17" t="n">
        <x:v>17</x:v>
      </x:c>
      <x:c r="J38" s="18" t="n">
        <x:v>15439.63</x:v>
      </x:c>
    </x:row>
    <x:row r="39">
      <x:c r="A39" s="15" t="str">
        <x:v>Genske Advogados</x:v>
      </x:c>
      <x:c r="B39" s="16" t="str">
        <x:v>CONDOMÍNIO VILA DAS CORES</x:v>
      </x:c>
      <x:c r="C39" s="16" t="str">
        <x:v>08.258.385/0001-01</x:v>
      </x:c>
      <x:c r="D39" s="16" t="n">
        <x:v>10</x:v>
      </x:c>
      <x:c r="E39" s="16" t="str">
        <x:v>D+60 · pré-jurídico em D+90</x:v>
      </x:c>
      <x:c r="F39" s="17" t="n">
        <x:v>10</x:v>
      </x:c>
      <x:c r="G39" s="17" t="n">
        <x:v>32</x:v>
      </x:c>
      <x:c r="H39" s="17" t="n">
        <x:v>0</x:v>
      </x:c>
      <x:c r="I39" s="17" t="n">
        <x:v>32</x:v>
      </x:c>
      <x:c r="J39" s="18" t="n">
        <x:v>37937.18</x:v>
      </x:c>
    </x:row>
    <x:row r="40">
      <x:c r="A40" s="15" t="str">
        <x:v>Genske Advogados</x:v>
      </x:c>
      <x:c r="B40" s="16" t="str">
        <x:v>CONDOMÍNIO VILLA LOBOS OFFICE PARK</x:v>
      </x:c>
      <x:c r="C40" s="16" t="str">
        <x:v>13.190.286/0001-67</x:v>
      </x:c>
      <x:c r="D40" s="16" t="n">
        <x:v>10</x:v>
      </x:c>
      <x:c r="E40" s="16" t="str">
        <x:v>D+60 · pré-jurídico em D+90</x:v>
      </x:c>
      <x:c r="F40" s="17" t="n">
        <x:v>28</x:v>
      </x:c>
      <x:c r="G40" s="17" t="n">
        <x:v>56</x:v>
      </x:c>
      <x:c r="H40" s="17" t="n">
        <x:v>0</x:v>
      </x:c>
      <x:c r="I40" s="17" t="n">
        <x:v>56</x:v>
      </x:c>
      <x:c r="J40" s="18" t="n">
        <x:v>83923.76</x:v>
      </x:c>
    </x:row>
    <x:row r="41">
      <x:c r="A41" s="15" t="str">
        <x:v>Genske Advogados</x:v>
      </x:c>
      <x:c r="B41" s="16" t="str">
        <x:v>ESTILO GRANJA VIANA CONDOMÍNIO</x:v>
      </x:c>
      <x:c r="C41" s="16" t="str">
        <x:v>24.169.107/0001-26</x:v>
      </x:c>
      <x:c r="D41" s="16" t="n">
        <x:v>10</x:v>
      </x:c>
      <x:c r="E41" s="16" t="str">
        <x:v>D+60 · pré-jurídico em D+90</x:v>
      </x:c>
      <x:c r="F41" s="17" t="n">
        <x:v>1</x:v>
      </x:c>
      <x:c r="G41" s="17" t="n">
        <x:v>1</x:v>
      </x:c>
      <x:c r="H41" s="17" t="n">
        <x:v>0</x:v>
      </x:c>
      <x:c r="I41" s="17" t="n">
        <x:v>1</x:v>
      </x:c>
      <x:c r="J41" s="18" t="n">
        <x:v>385.52</x:v>
      </x:c>
    </x:row>
    <x:row r="42">
      <x:c r="A42" s="15" t="str">
        <x:v>Valente Gomes</x:v>
      </x:c>
      <x:c r="B42" s="16" t="str">
        <x:v>CONDOMÍNIO ESCRITÓRIO RIO NEGRO</x:v>
      </x:c>
      <x:c r="C42" s="16" t="str">
        <x:v>13.003.580/0002-01</x:v>
      </x:c>
      <x:c r="D42" s="16" t="n">
        <x:v>10</x:v>
      </x:c>
      <x:c r="E42" s="16" t="str">
        <x:v>D+30</x:v>
      </x:c>
      <x:c r="F42" s="17" t="n">
        <x:v>57</x:v>
      </x:c>
      <x:c r="G42" s="17" t="n">
        <x:v>112</x:v>
      </x:c>
      <x:c r="H42" s="17" t="n">
        <x:v>0</x:v>
      </x:c>
      <x:c r="I42" s="17" t="n">
        <x:v>112</x:v>
      </x:c>
      <x:c r="J42" s="18" t="n">
        <x:v>130893.9</x:v>
      </x:c>
    </x:row>
    <x:row r="43">
      <x:c r="A43" s="19" t="str">
        <x:v>Valente Gomes</x:v>
      </x:c>
      <x:c r="B43" s="20" t="str">
        <x:v>CONDOMINIO O PARQUE TORRE DO CIPÓ</x:v>
      </x:c>
      <x:c r="C43" s="20" t="str">
        <x:v>52.073.626/0004-74</x:v>
      </x:c>
      <x:c r="D43" s="20" t="n">
        <x:v>5</x:v>
      </x:c>
      <x:c r="E43" s="20" t="str">
        <x:v>D+59</x:v>
      </x:c>
      <x:c r="F43" s="21" t="n">
        <x:v>5</x:v>
      </x:c>
      <x:c r="G43" s="21" t="n">
        <x:v>11</x:v>
      </x:c>
      <x:c r="H43" s="21" t="n">
        <x:v>0</x:v>
      </x:c>
      <x:c r="I43" s="21" t="n">
        <x:v>11</x:v>
      </x:c>
      <x:c r="J43" s="22" t="n">
        <x:v>26723.66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32" hidden="0" customWidth="1"/>
    <x:col min="4" max="4" width="18" hidden="0" customWidth="1"/>
    <x:col min="5" max="5" width="18" hidden="0" customWidth="1"/>
    <x:col min="6" max="6" width="28" hidden="0" customWidth="1"/>
    <x:col min="7" max="7" width="13" hidden="0" customWidth="1"/>
    <x:col min="8" max="8" width="14" hidden="0" customWidth="1"/>
    <x:col min="9" max="9" width="16" hidden="0" customWidth="1"/>
    <x:col min="10" max="10" width="17" hidden="0" customWidth="1"/>
    <x:col min="11" max="11" width="20" hidden="0" customWidth="1"/>
    <x:col min="12" max="12" width="18" hidden="0" customWidth="1"/>
    <x:col min="13" max="13" width="38" hidden="0" customWidth="1"/>
    <x:col min="14" max="14" width="22" hidden="0" customWidth="1"/>
  </x:cols>
  <x:sheetData>
    <x:row r="1">
      <x:c r="A1" s="2" t="str">
        <x:v>Cobranças novas e ativas, sem judicialização, agrupadas por carteira e condomínio</x:v>
      </x:c>
    </x:row>
    <x:row r="3">
      <x:c r="A3" s="24" t="str">
        <x:v>CARTEIRA: Azevedo Araújo · 289 cobranças · 286 novas · 3 ativas · R$ 170.122,70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5">
      <x:c r="A5" s="26" t="str">
        <x:v>CONDOMÍNIO BEM MOEMA - SETOR RESIDENCIAL</x:v>
      </x:c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</x:row>
    <x:row r="6">
      <x:c r="A6" s="28" t="str">
        <x:v>CNPJ</x:v>
      </x:c>
      <x:c r="B6" s="28" t="str">
        <x:v>63.819.144/0001-94</x:v>
      </x:c>
      <x:c r="C6" s="28"/>
      <x:c r="D6" s="28" t="str">
        <x:v>Dia de vencimento</x:v>
      </x:c>
      <x:c r="E6" s="28" t="n">
        <x:v>10</x:v>
      </x:c>
      <x:c r="F6" s="28" t="str">
        <x:v>Régua</x:v>
      </x:c>
      <x:c r="G6" s="28" t="str">
        <x:v>D+30</x:v>
      </x:c>
      <x:c r="H6" s="28"/>
      <x:c r="I6" s="28"/>
      <x:c r="J6" s="28"/>
      <x:c r="K6" s="28"/>
      <x:c r="L6" s="28"/>
      <x:c r="M6" s="28"/>
      <x:c r="N6" s="28"/>
    </x:row>
    <x:row r="7">
      <x:c r="A7" s="9" t="str">
        <x:v>Unidade</x:v>
      </x:c>
      <x:c r="B7" s="9" t="str">
        <x:v>Bloco</x:v>
      </x:c>
      <x:c r="C7" s="9" t="str">
        <x:v>Responsável</x:v>
      </x:c>
      <x:c r="D7" s="9" t="str">
        <x:v>Documento</x:v>
      </x:c>
      <x:c r="E7" s="9" t="str">
        <x:v>Telefone</x:v>
      </x:c>
      <x:c r="F7" s="9" t="str">
        <x:v>E-mail</x:v>
      </x:c>
      <x:c r="G7" s="9" t="str">
        <x:v>Vencimento</x:v>
      </x:c>
      <x:c r="H7" s="9" t="str">
        <x:v>Competência</x:v>
      </x:c>
      <x:c r="I7" s="9" t="str">
        <x:v>Valor original</x:v>
      </x:c>
      <x:c r="J7" s="9" t="str">
        <x:v>Valor atualizado</x:v>
      </x:c>
      <x:c r="K7" s="9" t="str">
        <x:v>Status operacional</x:v>
      </x:c>
      <x:c r="L7" s="9" t="str">
        <x:v>Status financeiro</x:v>
      </x:c>
      <x:c r="M7" s="9" t="str">
        <x:v>ID cobrança</x:v>
      </x:c>
      <x:c r="N7" s="9" t="str">
        <x:v>Observação</x:v>
      </x:c>
    </x:row>
    <x:row r="8">
      <x:c r="A8" s="31" t="str">
        <x:f>"000064"</x:f>
        <x:v>000064</x:v>
      </x:c>
      <x:c r="B8" s="32" t="str">
        <x:f>"0"</x:f>
        <x:v>0</x:v>
      </x:c>
      <x:c r="C8" s="32" t="str">
        <x:v>CAPITAL - PROP E INVEST IMOB LTDA</x:v>
      </x:c>
      <x:c r="D8" s="32" t="str">
        <x:f>"40133822000165"</x:f>
        <x:v>40133822000165</x:v>
      </x:c>
      <x:c r="E8" s="32" t="str">
        <x:f>"84999390050"</x:f>
        <x:v>84999390050</x:v>
      </x:c>
      <x:c r="F8" s="32" t="str">
        <x:v>brenna@usa.com</x:v>
      </x:c>
      <x:c r="G8" s="33" t="n">
        <x:v>46183</x:v>
      </x:c>
      <x:c r="H8" s="34" t="str">
        <x:v>06/2026</x:v>
      </x:c>
      <x:c r="I8" s="35" t="n">
        <x:v>3193.26</x:v>
      </x:c>
      <x:c r="J8" s="35" t="n">
        <x:v>3289.7</x:v>
      </x:c>
      <x:c r="K8" s="34" t="str">
        <x:v>Em cobrança ativa</x:v>
      </x:c>
      <x:c r="L8" s="34" t="str">
        <x:v>Em aberto</x:v>
      </x:c>
      <x:c r="M8" s="34" t="str">
        <x:v>1fe2eb1f-8176-422c-8d38-d3d02412efd0</x:v>
      </x:c>
      <x:c r="N8" s="36" t="str"/>
    </x:row>
    <x:row r="9">
      <x:c r="A9" s="37" t="str">
        <x:f>"000155"</x:f>
        <x:v>000155</x:v>
      </x:c>
      <x:c r="B9" s="38" t="str">
        <x:f>"0"</x:f>
        <x:v>0</x:v>
      </x:c>
      <x:c r="C9" s="38" t="str">
        <x:v>LEILANE SOUZA DE CAMARGO</x:v>
      </x:c>
      <x:c r="D9" s="38" t="str">
        <x:f>"38023481843"</x:f>
        <x:v>38023481843</x:v>
      </x:c>
      <x:c r="E9" s="38" t="str">
        <x:f>"13974094840"</x:f>
        <x:v>13974094840</x:v>
      </x:c>
      <x:c r="F9" s="38" t="str">
        <x:v>leilanescamargo@hotmail.com</x:v>
      </x:c>
      <x:c r="G9" s="39" t="n">
        <x:v>46122</x:v>
      </x:c>
      <x:c r="H9" s="16" t="str">
        <x:v>04/2026</x:v>
      </x:c>
      <x:c r="I9" s="40" t="n">
        <x:v>1949.17</x:v>
      </x:c>
      <x:c r="J9" s="40" t="n">
        <x:v>2110.75</x:v>
      </x:c>
      <x:c r="K9" s="16" t="str">
        <x:v>Em cobrança ativa</x:v>
      </x:c>
      <x:c r="L9" s="16" t="str">
        <x:v>Em aberto</x:v>
      </x:c>
      <x:c r="M9" s="16" t="str">
        <x:v>8316e1d9-6d24-401b-a442-ef73dd7a3c0e</x:v>
      </x:c>
      <x:c r="N9" s="41" t="str"/>
    </x:row>
    <x:row r="10">
      <x:c r="A10" s="37" t="str">
        <x:f>"000022"</x:f>
        <x:v>000022</x:v>
      </x:c>
      <x:c r="B10" s="38" t="str">
        <x:f>"0"</x:f>
        <x:v>0</x:v>
      </x:c>
      <x:c r="C10" s="38" t="str">
        <x:v>RIS IMOVEIS LTDA</x:v>
      </x:c>
      <x:c r="D10" s="38" t="str">
        <x:f>"30324518000141"</x:f>
        <x:v>30324518000141</x:v>
      </x:c>
      <x:c r="E10" s="38" t="str">
        <x:f>"11997841701"</x:f>
        <x:v>11997841701</x:v>
      </x:c>
      <x:c r="F10" s="38" t="str">
        <x:v>risimoveis46@gmail.com</x:v>
      </x:c>
      <x:c r="G10" s="39" t="n">
        <x:v>46183</x:v>
      </x:c>
      <x:c r="H10" s="16" t="str">
        <x:v>06/2026</x:v>
      </x:c>
      <x:c r="I10" s="40" t="n">
        <x:v>2003.69</x:v>
      </x:c>
      <x:c r="J10" s="40" t="n">
        <x:v>2064.19</x:v>
      </x:c>
      <x:c r="K10" s="16" t="str">
        <x:v>Novo</x:v>
      </x:c>
      <x:c r="L10" s="16" t="str">
        <x:v>Em aberto</x:v>
      </x:c>
      <x:c r="M10" s="16" t="str">
        <x:v>5c6b2559-e0bf-4b6a-b1fa-e9596d9db99f</x:v>
      </x:c>
      <x:c r="N10" s="41" t="str"/>
    </x:row>
    <x:row r="11">
      <x:c r="A11" s="37" t="str">
        <x:f>"000022"</x:f>
        <x:v>000022</x:v>
      </x:c>
      <x:c r="B11" s="38" t="str">
        <x:f>"0"</x:f>
        <x:v>0</x:v>
      </x:c>
      <x:c r="C11" s="38" t="str">
        <x:v>RIS IMOVEIS LTDA</x:v>
      </x:c>
      <x:c r="D11" s="38" t="str">
        <x:f>"30324518000141"</x:f>
        <x:v>30324518000141</x:v>
      </x:c>
      <x:c r="E11" s="38" t="str">
        <x:f>"11997841701"</x:f>
        <x:v>11997841701</x:v>
      </x:c>
      <x:c r="F11" s="38" t="str">
        <x:v>risimoveis46@gmail.com</x:v>
      </x:c>
      <x:c r="G11" s="39" t="n">
        <x:v>46213</x:v>
      </x:c>
      <x:c r="H11" s="16" t="str">
        <x:v>07/2026</x:v>
      </x:c>
      <x:c r="I11" s="40" t="n">
        <x:v>1993.03</x:v>
      </x:c>
      <x:c r="J11" s="40" t="n">
        <x:v>2053.22</x:v>
      </x:c>
      <x:c r="K11" s="16" t="str">
        <x:v>Novo</x:v>
      </x:c>
      <x:c r="L11" s="16" t="str">
        <x:v>Em aberto</x:v>
      </x:c>
      <x:c r="M11" s="16" t="str">
        <x:v>697d81bf-93f9-41fe-8043-c323e907e03d</x:v>
      </x:c>
      <x:c r="N11" s="41" t="str"/>
    </x:row>
    <x:row r="12">
      <x:c r="A12" s="37" t="str">
        <x:f>"000064"</x:f>
        <x:v>000064</x:v>
      </x:c>
      <x:c r="B12" s="38" t="str">
        <x:f>"0"</x:f>
        <x:v>0</x:v>
      </x:c>
      <x:c r="C12" s="38" t="str">
        <x:v>CAPITAL - PROP E INVEST IMOB LTDA</x:v>
      </x:c>
      <x:c r="D12" s="38" t="str">
        <x:f>"40133822000165"</x:f>
        <x:v>40133822000165</x:v>
      </x:c>
      <x:c r="E12" s="38" t="str">
        <x:f>"84999390050"</x:f>
        <x:v>84999390050</x:v>
      </x:c>
      <x:c r="F12" s="38" t="str">
        <x:v>brenna@usa.com</x:v>
      </x:c>
      <x:c r="G12" s="39" t="n">
        <x:v>46213</x:v>
      </x:c>
      <x:c r="H12" s="16" t="str">
        <x:v>07/2026</x:v>
      </x:c>
      <x:c r="I12" s="40" t="n">
        <x:v>3176.27</x:v>
      </x:c>
      <x:c r="J12" s="40" t="n">
        <x:v>3272.2</x:v>
      </x:c>
      <x:c r="K12" s="16" t="str">
        <x:v>Novo</x:v>
      </x:c>
      <x:c r="L12" s="16" t="str">
        <x:v>Em aberto</x:v>
      </x:c>
      <x:c r="M12" s="16" t="str">
        <x:v>026192b0-048a-4c20-a15f-7d7157aafd8f</x:v>
      </x:c>
      <x:c r="N12" s="41" t="str"/>
    </x:row>
    <x:row r="13">
      <x:c r="A13" s="37" t="str">
        <x:f>"000071"</x:f>
        <x:v>000071</x:v>
      </x:c>
      <x:c r="B13" s="38" t="str">
        <x:f>"0"</x:f>
        <x:v>0</x:v>
      </x:c>
      <x:c r="C13" s="38" t="str">
        <x:v>PAULO RICARDO DE OLIVEIRA NOVAES</x:v>
      </x:c>
      <x:c r="D13" s="38" t="str">
        <x:f>"39652245810"</x:f>
        <x:v>39652245810</x:v>
      </x:c>
      <x:c r="E13" s="38" t="str">
        <x:f>"11963799495"</x:f>
        <x:v>11963799495</x:v>
      </x:c>
      <x:c r="F13" s="38" t="str">
        <x:v>tricotijr@gmail.com</x:v>
      </x:c>
      <x:c r="G13" s="39" t="n">
        <x:v>46213</x:v>
      </x:c>
      <x:c r="H13" s="16" t="str">
        <x:v>07/2026</x:v>
      </x:c>
      <x:c r="I13" s="40" t="n">
        <x:v>3698.9</x:v>
      </x:c>
      <x:c r="J13" s="40" t="n">
        <x:v>3810.61</x:v>
      </x:c>
      <x:c r="K13" s="16" t="str">
        <x:v>Novo</x:v>
      </x:c>
      <x:c r="L13" s="16" t="str">
        <x:v>Em aberto</x:v>
      </x:c>
      <x:c r="M13" s="16" t="str">
        <x:v>5d4e8f10-a796-4e4b-a9b2-a7fc887613cc</x:v>
      </x:c>
      <x:c r="N13" s="41" t="str"/>
    </x:row>
    <x:row r="14">
      <x:c r="A14" s="37" t="str">
        <x:f>"000095"</x:f>
        <x:v>000095</x:v>
      </x:c>
      <x:c r="B14" s="38" t="str">
        <x:f>"0"</x:f>
        <x:v>0</x:v>
      </x:c>
      <x:c r="C14" s="38" t="str">
        <x:v>DANIELA CRISTINA ITO</x:v>
      </x:c>
      <x:c r="D14" s="38" t="str">
        <x:f>"26786386857"</x:f>
        <x:v>26786386857</x:v>
      </x:c>
      <x:c r="E14" s="38" t="str">
        <x:f>"11999105533"</x:f>
        <x:v>11999105533</x:v>
      </x:c>
      <x:c r="F14" s="38" t="str">
        <x:v>danielaito3@gmail.com</x:v>
      </x:c>
      <x:c r="G14" s="39" t="n">
        <x:v>46183</x:v>
      </x:c>
      <x:c r="H14" s="16" t="str">
        <x:v>06/2026</x:v>
      </x:c>
      <x:c r="I14" s="40" t="n">
        <x:v>1984.87</x:v>
      </x:c>
      <x:c r="J14" s="40" t="n">
        <x:v>2044.82</x:v>
      </x:c>
      <x:c r="K14" s="16" t="str">
        <x:v>Novo</x:v>
      </x:c>
      <x:c r="L14" s="16" t="str">
        <x:v>Em aberto</x:v>
      </x:c>
      <x:c r="M14" s="16" t="str">
        <x:v>2db46233-e7d9-4577-9e0c-ca4432006110</x:v>
      </x:c>
      <x:c r="N14" s="41" t="str"/>
    </x:row>
    <x:row r="15">
      <x:c r="A15" s="37" t="str">
        <x:f>"000095"</x:f>
        <x:v>000095</x:v>
      </x:c>
      <x:c r="B15" s="38" t="str">
        <x:f>"0"</x:f>
        <x:v>0</x:v>
      </x:c>
      <x:c r="C15" s="38" t="str">
        <x:v>DANIELA CRISTINA ITO</x:v>
      </x:c>
      <x:c r="D15" s="38" t="str">
        <x:f>"26786386857"</x:f>
        <x:v>26786386857</x:v>
      </x:c>
      <x:c r="E15" s="38" t="str">
        <x:f>"11999105533"</x:f>
        <x:v>11999105533</x:v>
      </x:c>
      <x:c r="F15" s="38" t="str">
        <x:v>danielaito3@gmail.com</x:v>
      </x:c>
      <x:c r="G15" s="39" t="n">
        <x:v>46213</x:v>
      </x:c>
      <x:c r="H15" s="16" t="str">
        <x:v>07/2026</x:v>
      </x:c>
      <x:c r="I15" s="40" t="n">
        <x:v>1974.3</x:v>
      </x:c>
      <x:c r="J15" s="40" t="n">
        <x:v>2033.93</x:v>
      </x:c>
      <x:c r="K15" s="16" t="str">
        <x:v>Novo</x:v>
      </x:c>
      <x:c r="L15" s="16" t="str">
        <x:v>Em aberto</x:v>
      </x:c>
      <x:c r="M15" s="16" t="str">
        <x:v>5b7a3b60-2b8b-4bb6-bf68-96d59f08f925</x:v>
      </x:c>
      <x:c r="N15" s="41" t="str"/>
    </x:row>
    <x:row r="16">
      <x:c r="A16" s="37" t="str">
        <x:f>"000103"</x:f>
        <x:v>000103</x:v>
      </x:c>
      <x:c r="B16" s="38" t="str">
        <x:f>"0"</x:f>
        <x:v>0</x:v>
      </x:c>
      <x:c r="C16" s="38" t="str">
        <x:v>RODRIGO RESENDE ROSOLEM</x:v>
      </x:c>
      <x:c r="D16" s="38" t="str">
        <x:f>"36582726862"</x:f>
        <x:v>36582726862</x:v>
      </x:c>
      <x:c r="E16" s="38" t="str">
        <x:f>"11982459312"</x:f>
        <x:v>11982459312</x:v>
      </x:c>
      <x:c r="F16" s="38" t="str">
        <x:v>rosolem.r3@gmail.com</x:v>
      </x:c>
      <x:c r="G16" s="39" t="n">
        <x:v>46213</x:v>
      </x:c>
      <x:c r="H16" s="16" t="str">
        <x:v>07/2026</x:v>
      </x:c>
      <x:c r="I16" s="40" t="n">
        <x:v>3176.27</x:v>
      </x:c>
      <x:c r="J16" s="40" t="n">
        <x:v>3272.2</x:v>
      </x:c>
      <x:c r="K16" s="16" t="str">
        <x:v>Novo</x:v>
      </x:c>
      <x:c r="L16" s="16" t="str">
        <x:v>Em aberto</x:v>
      </x:c>
      <x:c r="M16" s="16" t="str">
        <x:v>abca70f6-2a9c-4260-95e5-ca01fe3c8b88</x:v>
      </x:c>
      <x:c r="N16" s="41" t="str"/>
    </x:row>
    <x:row r="17">
      <x:c r="A17" s="42" t="str">
        <x:f>"000142"</x:f>
        <x:v>000142</x:v>
      </x:c>
      <x:c r="B17" s="43" t="str">
        <x:f>"0"</x:f>
        <x:v>0</x:v>
      </x:c>
      <x:c r="C17" s="43" t="str">
        <x:v>JLF DE ANDRADE IMOVEIS LTDA</x:v>
      </x:c>
      <x:c r="D17" s="43" t="str">
        <x:f>"27773998000113"</x:f>
        <x:v>27773998000113</x:v>
      </x:c>
      <x:c r="E17" s="43" t="str">
        <x:f>"86999811721"</x:f>
        <x:v>86999811721</x:v>
      </x:c>
      <x:c r="F17" s="43" t="str">
        <x:v>financeiro@brasilceras.com.br</x:v>
      </x:c>
      <x:c r="G17" s="44" t="n">
        <x:v>46101</x:v>
      </x:c>
      <x:c r="H17" s="20" t="str">
        <x:v>03/2026</x:v>
      </x:c>
      <x:c r="I17" s="45" t="n">
        <x:v>275.1</x:v>
      </x:c>
      <x:c r="J17" s="45" t="n">
        <x:v>302.36</x:v>
      </x:c>
      <x:c r="K17" s="20" t="str">
        <x:v>Novo</x:v>
      </x:c>
      <x:c r="L17" s="20" t="str">
        <x:v>Em aberto</x:v>
      </x:c>
      <x:c r="M17" s="20" t="str">
        <x:v>be5e7f27-ecda-4cf9-a48d-3b0e86f4a25d</x:v>
      </x:c>
      <x:c r="N17" s="46" t="str"/>
    </x:row>
    <x:row r="18">
      <x:c r="A18" s="47" t="str">
        <x:v>Subtotal</x:v>
      </x:c>
      <x:c r="B18" s="47" t="str"/>
      <x:c r="C18" s="47" t="str"/>
      <x:c r="D18" s="47" t="str"/>
      <x:c r="E18" s="47" t="str"/>
      <x:c r="F18" s="47" t="str"/>
      <x:c r="G18" s="47" t="str"/>
      <x:c r="H18" s="47" t="str"/>
      <x:c r="I18" s="47" t="str"/>
      <x:c r="J18" s="48" t="n">
        <x:v>24253.98</x:v>
      </x:c>
      <x:c r="K18" s="47" t="str">
        <x:v>8 novas</x:v>
      </x:c>
      <x:c r="L18" s="47" t="str">
        <x:v>2 ativas</x:v>
      </x:c>
      <x:c r="M18" s="47" t="str"/>
      <x:c r="N18" s="47" t="str"/>
    </x:row>
    <x:row r="20">
      <x:c r="A20" s="26" t="str">
        <x:v>CONDOMÍNIO BEM MOEMA - SETOR STUDIOS</x:v>
      </x:c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</x:row>
    <x:row r="21">
      <x:c r="A21" s="28" t="str">
        <x:v>CNPJ</x:v>
      </x:c>
      <x:c r="B21" s="28" t="str">
        <x:v>63.819.144/0003-56</x:v>
      </x:c>
      <x:c r="C21" s="28"/>
      <x:c r="D21" s="28" t="str">
        <x:v>Dia de vencimento</x:v>
      </x:c>
      <x:c r="E21" s="28" t="n">
        <x:v>10</x:v>
      </x:c>
      <x:c r="F21" s="28" t="str">
        <x:v>Régua</x:v>
      </x:c>
      <x:c r="G21" s="28" t="str">
        <x:v>D+30</x:v>
      </x:c>
      <x:c r="H21" s="28"/>
      <x:c r="I21" s="28"/>
      <x:c r="J21" s="28"/>
      <x:c r="K21" s="28"/>
      <x:c r="L21" s="28"/>
      <x:c r="M21" s="28"/>
      <x:c r="N21" s="28"/>
    </x:row>
    <x:row r="22">
      <x:c r="A22" s="9" t="str">
        <x:v>Unidade</x:v>
      </x:c>
      <x:c r="B22" s="9" t="str">
        <x:v>Bloco</x:v>
      </x:c>
      <x:c r="C22" s="9" t="str">
        <x:v>Responsável</x:v>
      </x:c>
      <x:c r="D22" s="9" t="str">
        <x:v>Documento</x:v>
      </x:c>
      <x:c r="E22" s="9" t="str">
        <x:v>Telefone</x:v>
      </x:c>
      <x:c r="F22" s="9" t="str">
        <x:v>E-mail</x:v>
      </x:c>
      <x:c r="G22" s="9" t="str">
        <x:v>Vencimento</x:v>
      </x:c>
      <x:c r="H22" s="9" t="str">
        <x:v>Competência</x:v>
      </x:c>
      <x:c r="I22" s="9" t="str">
        <x:v>Valor original</x:v>
      </x:c>
      <x:c r="J22" s="9" t="str">
        <x:v>Valor atualizado</x:v>
      </x:c>
      <x:c r="K22" s="9" t="str">
        <x:v>Status operacional</x:v>
      </x:c>
      <x:c r="L22" s="9" t="str">
        <x:v>Status financeiro</x:v>
      </x:c>
      <x:c r="M22" s="9" t="str">
        <x:v>ID cobrança</x:v>
      </x:c>
      <x:c r="N22" s="9" t="str">
        <x:v>Observação</x:v>
      </x:c>
    </x:row>
    <x:row r="23">
      <x:c r="A23" s="31" t="str">
        <x:f>"001103"</x:f>
        <x:v>001103</x:v>
      </x:c>
      <x:c r="B23" s="32" t="str">
        <x:f>"0"</x:f>
        <x:v>0</x:v>
      </x:c>
      <x:c r="C23" s="32" t="str">
        <x:v>FCA PART EMPRE. E ADM DE BENS LTDA.</x:v>
      </x:c>
      <x:c r="D23" s="32" t="str">
        <x:f>"18072638000101"</x:f>
        <x:v>18072638000101</x:v>
      </x:c>
      <x:c r="E23" s="32" t="str">
        <x:f>"11981846112"</x:f>
        <x:v>11981846112</x:v>
      </x:c>
      <x:c r="F23" s="32" t="str">
        <x:v>fiqueonline@gmail.come</x:v>
      </x:c>
      <x:c r="G23" s="33" t="n">
        <x:v>46213</x:v>
      </x:c>
      <x:c r="H23" s="34" t="str">
        <x:v>07/2026</x:v>
      </x:c>
      <x:c r="I23" s="35" t="n">
        <x:v>804.57</x:v>
      </x:c>
      <x:c r="J23" s="35" t="n">
        <x:v>828.86</x:v>
      </x:c>
      <x:c r="K23" s="34" t="str">
        <x:v>Novo</x:v>
      </x:c>
      <x:c r="L23" s="34" t="str">
        <x:v>Em aberto</x:v>
      </x:c>
      <x:c r="M23" s="34" t="str">
        <x:v>5fba79ea-e23e-4cb3-81da-106818c91dcd</x:v>
      </x:c>
      <x:c r="N23" s="36" t="str"/>
    </x:row>
    <x:row r="24">
      <x:c r="A24" s="37" t="str">
        <x:f>"001304"</x:f>
        <x:v>001304</x:v>
      </x:c>
      <x:c r="B24" s="38" t="str">
        <x:f>"0"</x:f>
        <x:v>0</x:v>
      </x:c>
      <x:c r="C24" s="38" t="str">
        <x:v>RENATA BOZZOLA</x:v>
      </x:c>
      <x:c r="D24" s="38" t="str">
        <x:f>"09831909844"</x:f>
        <x:v>09831909844</x:v>
      </x:c>
      <x:c r="E24" s="38" t="str">
        <x:f>"21979490026"</x:f>
        <x:v>21979490026</x:v>
      </x:c>
      <x:c r="F24" s="38" t="str">
        <x:v>bozzolarenata@gmail.com</x:v>
      </x:c>
      <x:c r="G24" s="39" t="n">
        <x:v>46063</x:v>
      </x:c>
      <x:c r="H24" s="16" t="str">
        <x:v>02/2026</x:v>
      </x:c>
      <x:c r="I24" s="40" t="n">
        <x:v>569.63</x:v>
      </x:c>
      <x:c r="J24" s="40" t="n">
        <x:v>627.47</x:v>
      </x:c>
      <x:c r="K24" s="16" t="str">
        <x:v>Novo</x:v>
      </x:c>
      <x:c r="L24" s="16" t="str">
        <x:v>Em aberto</x:v>
      </x:c>
      <x:c r="M24" s="16" t="str">
        <x:v>26740ec4-9a1b-4a7f-a649-5bd62ef021f1</x:v>
      </x:c>
      <x:c r="N24" s="41" t="str"/>
    </x:row>
    <x:row r="25">
      <x:c r="A25" s="37" t="str">
        <x:f>"001602"</x:f>
        <x:v>001602</x:v>
      </x:c>
      <x:c r="B25" s="38" t="str">
        <x:f>"0"</x:f>
        <x:v>0</x:v>
      </x:c>
      <x:c r="C25" s="38" t="str">
        <x:v>ANA AMELIA NUNES DE OLIVEIRA</x:v>
      </x:c>
      <x:c r="D25" s="38" t="str">
        <x:f>"42223366880"</x:f>
        <x:v>42223366880</x:v>
      </x:c>
      <x:c r="E25" s="38" t="str">
        <x:f>"11974332325"</x:f>
        <x:v>11974332325</x:v>
      </x:c>
      <x:c r="F25" s="38" t="str">
        <x:v>menor@menordeidade.com.br</x:v>
      </x:c>
      <x:c r="G25" s="39" t="n">
        <x:v>46101</x:v>
      </x:c>
      <x:c r="H25" s="16" t="str">
        <x:v>03/2026</x:v>
      </x:c>
      <x:c r="I25" s="40" t="n">
        <x:v>112.83</x:v>
      </x:c>
      <x:c r="J25" s="40" t="n">
        <x:v>124.01</x:v>
      </x:c>
      <x:c r="K25" s="16" t="str">
        <x:v>Novo</x:v>
      </x:c>
      <x:c r="L25" s="16" t="str">
        <x:v>Em aberto</x:v>
      </x:c>
      <x:c r="M25" s="16" t="str">
        <x:v>c47554ae-9e43-4ea9-9772-f1a91666c10e</x:v>
      </x:c>
      <x:c r="N25" s="41" t="str"/>
    </x:row>
    <x:row r="26">
      <x:c r="A26" s="37" t="str">
        <x:f>"001602"</x:f>
        <x:v>001602</x:v>
      </x:c>
      <x:c r="B26" s="38" t="str">
        <x:f>"0"</x:f>
        <x:v>0</x:v>
      </x:c>
      <x:c r="C26" s="38" t="str">
        <x:v>ANA AMELIA NUNES DE OLIVEIRA</x:v>
      </x:c>
      <x:c r="D26" s="38" t="str">
        <x:f>"42223366880"</x:f>
        <x:v>42223366880</x:v>
      </x:c>
      <x:c r="E26" s="38" t="str">
        <x:f>"11974332325"</x:f>
        <x:v>11974332325</x:v>
      </x:c>
      <x:c r="F26" s="38" t="str">
        <x:v>menor@menordeidade.com.br</x:v>
      </x:c>
      <x:c r="G26" s="39" t="n">
        <x:v>46122</x:v>
      </x:c>
      <x:c r="H26" s="16" t="str">
        <x:v>04/2026</x:v>
      </x:c>
      <x:c r="I26" s="40" t="n">
        <x:v>785.98</x:v>
      </x:c>
      <x:c r="J26" s="40" t="n">
        <x:v>851.15</x:v>
      </x:c>
      <x:c r="K26" s="16" t="str">
        <x:v>Novo</x:v>
      </x:c>
      <x:c r="L26" s="16" t="str">
        <x:v>Em aberto</x:v>
      </x:c>
      <x:c r="M26" s="16" t="str">
        <x:v>3e19113f-a076-4f5d-8748-b47998a424e2</x:v>
      </x:c>
      <x:c r="N26" s="41" t="str"/>
    </x:row>
    <x:row r="27">
      <x:c r="A27" s="37" t="str">
        <x:f>"001602"</x:f>
        <x:v>001602</x:v>
      </x:c>
      <x:c r="B27" s="38" t="str">
        <x:f>"0"</x:f>
        <x:v>0</x:v>
      </x:c>
      <x:c r="C27" s="38" t="str">
        <x:v>ANA AMELIA NUNES DE OLIVEIRA</x:v>
      </x:c>
      <x:c r="D27" s="38" t="str">
        <x:f>"42223366880"</x:f>
        <x:v>42223366880</x:v>
      </x:c>
      <x:c r="E27" s="38" t="str">
        <x:f>"11974332325"</x:f>
        <x:v>11974332325</x:v>
      </x:c>
      <x:c r="F27" s="38" t="str">
        <x:v>menor@menordeidade.com.br</x:v>
      </x:c>
      <x:c r="G27" s="39" t="n">
        <x:v>46152</x:v>
      </x:c>
      <x:c r="H27" s="16" t="str">
        <x:v>05/2026</x:v>
      </x:c>
      <x:c r="I27" s="40" t="n">
        <x:v>790.78</x:v>
      </x:c>
      <x:c r="J27" s="40" t="n">
        <x:v>825.49</x:v>
      </x:c>
      <x:c r="K27" s="16" t="str">
        <x:v>Novo</x:v>
      </x:c>
      <x:c r="L27" s="16" t="str">
        <x:v>Em aberto</x:v>
      </x:c>
      <x:c r="M27" s="16" t="str">
        <x:v>c8bd384d-3aad-4043-b911-196a8adc2d87</x:v>
      </x:c>
      <x:c r="N27" s="41" t="str"/>
    </x:row>
    <x:row r="28">
      <x:c r="A28" s="37" t="str">
        <x:f>"001602"</x:f>
        <x:v>001602</x:v>
      </x:c>
      <x:c r="B28" s="38" t="str">
        <x:f>"0"</x:f>
        <x:v>0</x:v>
      </x:c>
      <x:c r="C28" s="38" t="str">
        <x:v>ANA AMELIA NUNES DE OLIVEIRA</x:v>
      </x:c>
      <x:c r="D28" s="38" t="str">
        <x:f>"42223366880"</x:f>
        <x:v>42223366880</x:v>
      </x:c>
      <x:c r="E28" s="38" t="str">
        <x:f>"11974332325"</x:f>
        <x:v>11974332325</x:v>
      </x:c>
      <x:c r="F28" s="38" t="str">
        <x:v>menor@menordeidade.com.br</x:v>
      </x:c>
      <x:c r="G28" s="39" t="n">
        <x:v>46183</x:v>
      </x:c>
      <x:c r="H28" s="16" t="str">
        <x:v>06/2026</x:v>
      </x:c>
      <x:c r="I28" s="40" t="n">
        <x:v>797.83</x:v>
      </x:c>
      <x:c r="J28" s="40" t="n">
        <x:v>821.92</x:v>
      </x:c>
      <x:c r="K28" s="16" t="str">
        <x:v>Novo</x:v>
      </x:c>
      <x:c r="L28" s="16" t="str">
        <x:v>Em aberto</x:v>
      </x:c>
      <x:c r="M28" s="16" t="str">
        <x:v>674d0692-586f-4351-b858-82eb35d670ab</x:v>
      </x:c>
      <x:c r="N28" s="41" t="str"/>
    </x:row>
    <x:row r="29">
      <x:c r="A29" s="37" t="str">
        <x:f>"001602"</x:f>
        <x:v>001602</x:v>
      </x:c>
      <x:c r="B29" s="38" t="str">
        <x:f>"0"</x:f>
        <x:v>0</x:v>
      </x:c>
      <x:c r="C29" s="38" t="str">
        <x:v>ANA AMELIA NUNES DE OLIVEIRA</x:v>
      </x:c>
      <x:c r="D29" s="38" t="str">
        <x:f>"42223366880"</x:f>
        <x:v>42223366880</x:v>
      </x:c>
      <x:c r="E29" s="38" t="str">
        <x:f>"11974332325"</x:f>
        <x:v>11974332325</x:v>
      </x:c>
      <x:c r="F29" s="38" t="str">
        <x:v>menor@menordeidade.com.br</x:v>
      </x:c>
      <x:c r="G29" s="39" t="n">
        <x:v>46213</x:v>
      </x:c>
      <x:c r="H29" s="16" t="str">
        <x:v>07/2026</x:v>
      </x:c>
      <x:c r="I29" s="40" t="n">
        <x:v>804.57</x:v>
      </x:c>
      <x:c r="J29" s="40" t="n">
        <x:v>828.86</x:v>
      </x:c>
      <x:c r="K29" s="16" t="str">
        <x:v>Novo</x:v>
      </x:c>
      <x:c r="L29" s="16" t="str">
        <x:v>Em aberto</x:v>
      </x:c>
      <x:c r="M29" s="16" t="str">
        <x:v>136f4816-d728-4050-8cea-659a8014bd6b</x:v>
      </x:c>
      <x:c r="N29" s="41" t="str"/>
    </x:row>
    <x:row r="30">
      <x:c r="A30" s="42" t="str">
        <x:f>"001603"</x:f>
        <x:v>001603</x:v>
      </x:c>
      <x:c r="B30" s="43" t="str">
        <x:f>"0"</x:f>
        <x:v>0</x:v>
      </x:c>
      <x:c r="C30" s="43" t="str">
        <x:v>FLAVIO MALDONADO DE BARROS</x:v>
      </x:c>
      <x:c r="D30" s="43" t="str">
        <x:f>"89377753104"</x:f>
        <x:v>89377753104</x:v>
      </x:c>
      <x:c r="E30" s="43" t="str">
        <x:f>"65999717343"</x:f>
        <x:v>65999717343</x:v>
      </x:c>
      <x:c r="F30" s="43" t="str">
        <x:v>flavio.maldonado76@gmail.com</x:v>
      </x:c>
      <x:c r="G30" s="44" t="n">
        <x:v>46213</x:v>
      </x:c>
      <x:c r="H30" s="20" t="str">
        <x:v>07/2026</x:v>
      </x:c>
      <x:c r="I30" s="45" t="n">
        <x:v>804.57</x:v>
      </x:c>
      <x:c r="J30" s="45" t="n">
        <x:v>828.86</x:v>
      </x:c>
      <x:c r="K30" s="20" t="str">
        <x:v>Novo</x:v>
      </x:c>
      <x:c r="L30" s="20" t="str">
        <x:v>Em aberto</x:v>
      </x:c>
      <x:c r="M30" s="20" t="str">
        <x:v>2498d853-48fc-49c2-af5e-c9f7f380554f</x:v>
      </x:c>
      <x:c r="N30" s="46" t="str"/>
    </x:row>
    <x:row r="31">
      <x:c r="A31" s="47" t="str">
        <x:v>Subtotal</x:v>
      </x:c>
      <x:c r="B31" s="47" t="str"/>
      <x:c r="C31" s="47" t="str"/>
      <x:c r="D31" s="47" t="str"/>
      <x:c r="E31" s="47" t="str"/>
      <x:c r="F31" s="47" t="str"/>
      <x:c r="G31" s="47" t="str"/>
      <x:c r="H31" s="47" t="str"/>
      <x:c r="I31" s="47" t="str"/>
      <x:c r="J31" s="48" t="n">
        <x:v>5736.62</x:v>
      </x:c>
      <x:c r="K31" s="47" t="str">
        <x:v>8 novas</x:v>
      </x:c>
      <x:c r="L31" s="47" t="str">
        <x:v>0 ativas</x:v>
      </x:c>
      <x:c r="M31" s="47" t="str"/>
      <x:c r="N31" s="47" t="str"/>
    </x:row>
    <x:row r="33">
      <x:c r="A33" s="26" t="str">
        <x:v>CONDOMINIO SAFIRA</x:v>
      </x:c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</x:row>
    <x:row r="34">
      <x:c r="A34" s="28" t="str">
        <x:v>CNPJ</x:v>
      </x:c>
      <x:c r="B34" s="28" t="str">
        <x:v>55.361.065/0001-54</x:v>
      </x:c>
      <x:c r="C34" s="28"/>
      <x:c r="D34" s="28" t="str">
        <x:v>Dia de vencimento</x:v>
      </x:c>
      <x:c r="E34" s="28" t="n">
        <x:v>10</x:v>
      </x:c>
      <x:c r="F34" s="28" t="str">
        <x:v>Régua</x:v>
      </x:c>
      <x:c r="G34" s="28" t="str">
        <x:v>D+30</x:v>
      </x:c>
      <x:c r="H34" s="28"/>
      <x:c r="I34" s="28"/>
      <x:c r="J34" s="28"/>
      <x:c r="K34" s="28"/>
      <x:c r="L34" s="28"/>
      <x:c r="M34" s="28"/>
      <x:c r="N34" s="28"/>
    </x:row>
    <x:row r="35">
      <x:c r="A35" s="9" t="str">
        <x:v>Unidade</x:v>
      </x:c>
      <x:c r="B35" s="9" t="str">
        <x:v>Bloco</x:v>
      </x:c>
      <x:c r="C35" s="9" t="str">
        <x:v>Responsável</x:v>
      </x:c>
      <x:c r="D35" s="9" t="str">
        <x:v>Documento</x:v>
      </x:c>
      <x:c r="E35" s="9" t="str">
        <x:v>Telefone</x:v>
      </x:c>
      <x:c r="F35" s="9" t="str">
        <x:v>E-mail</x:v>
      </x:c>
      <x:c r="G35" s="9" t="str">
        <x:v>Vencimento</x:v>
      </x:c>
      <x:c r="H35" s="9" t="str">
        <x:v>Competência</x:v>
      </x:c>
      <x:c r="I35" s="9" t="str">
        <x:v>Valor original</x:v>
      </x:c>
      <x:c r="J35" s="9" t="str">
        <x:v>Valor atualizado</x:v>
      </x:c>
      <x:c r="K35" s="9" t="str">
        <x:v>Status operacional</x:v>
      </x:c>
      <x:c r="L35" s="9" t="str">
        <x:v>Status financeiro</x:v>
      </x:c>
      <x:c r="M35" s="9" t="str">
        <x:v>ID cobrança</x:v>
      </x:c>
      <x:c r="N35" s="9" t="str">
        <x:v>Observação</x:v>
      </x:c>
    </x:row>
    <x:row r="36">
      <x:c r="A36" s="31" t="str">
        <x:f>"61"</x:f>
        <x:v>61</x:v>
      </x:c>
      <x:c r="B36" s="32" t="str">
        <x:f>"5"</x:f>
        <x:v>5</x:v>
      </x:c>
      <x:c r="C36" s="32" t="str">
        <x:v>EDSON DA SILVA SANTOS SANCHES</x:v>
      </x:c>
      <x:c r="D36" s="32" t="str">
        <x:f>"18554973879"</x:f>
        <x:v>18554973879</x:v>
      </x:c>
      <x:c r="E36" s="32" t="str">
        <x:f>"11978655062"</x:f>
        <x:v>11978655062</x:v>
      </x:c>
      <x:c r="F36" s="32" t="str">
        <x:v>esanches407@gmail.com</x:v>
      </x:c>
      <x:c r="G36" s="33" t="n">
        <x:v>46152</x:v>
      </x:c>
      <x:c r="H36" s="34" t="str">
        <x:v>05/2026</x:v>
      </x:c>
      <x:c r="I36" s="35" t="n">
        <x:v>431.8</x:v>
      </x:c>
      <x:c r="J36" s="35" t="n">
        <x:v>449.25</x:v>
      </x:c>
      <x:c r="K36" s="34" t="str">
        <x:v>Em cobrança ativa</x:v>
      </x:c>
      <x:c r="L36" s="34" t="str">
        <x:v>Em aberto</x:v>
      </x:c>
      <x:c r="M36" s="34" t="str">
        <x:v>6f334c06-eeaf-4c2e-892d-b323d3fc3ee2</x:v>
      </x:c>
      <x:c r="N36" s="36" t="str"/>
    </x:row>
    <x:row r="37">
      <x:c r="A37" s="37" t="str">
        <x:f>"1"</x:f>
        <x:v>1</x:v>
      </x:c>
      <x:c r="B37" s="38" t="str">
        <x:f>"5"</x:f>
        <x:v>5</x:v>
      </x:c>
      <x:c r="C37" s="38" t="str">
        <x:v>ANDREZZA RETORNAZ CAETANA</x:v>
      </x:c>
      <x:c r="D37" s="38" t="str">
        <x:f>"33367488879"</x:f>
        <x:v>33367488879</x:v>
      </x:c>
      <x:c r="E37" s="38" t="str">
        <x:f>"11988147724"</x:f>
        <x:v>11988147724</x:v>
      </x:c>
      <x:c r="F37" s="38" t="str">
        <x:v>andre_zzaph@hotmail.com</x:v>
      </x:c>
      <x:c r="G37" s="39" t="n">
        <x:v>46063</x:v>
      </x:c>
      <x:c r="H37" s="16" t="str">
        <x:v>02/2026</x:v>
      </x:c>
      <x:c r="I37" s="40" t="n">
        <x:v>440.4</x:v>
      </x:c>
      <x:c r="J37" s="40" t="n">
        <x:v>482.94</x:v>
      </x:c>
      <x:c r="K37" s="16" t="str">
        <x:v>Novo</x:v>
      </x:c>
      <x:c r="L37" s="16" t="str">
        <x:v>Em aberto</x:v>
      </x:c>
      <x:c r="M37" s="16" t="str">
        <x:v>ba330c2a-204a-4fd6-a4cc-193fc5921816</x:v>
      </x:c>
      <x:c r="N37" s="41" t="str"/>
    </x:row>
    <x:row r="38">
      <x:c r="A38" s="37" t="str">
        <x:f>"1"</x:f>
        <x:v>1</x:v>
      </x:c>
      <x:c r="B38" s="38" t="str">
        <x:f>"2"</x:f>
        <x:v>2</x:v>
      </x:c>
      <x:c r="C38" s="38" t="str">
        <x:v>NAYARA HELENA SANTOS</x:v>
      </x:c>
      <x:c r="D38" s="38" t="str">
        <x:f>"37830026807"</x:f>
        <x:v>37830026807</x:v>
      </x:c>
      <x:c r="E38" s="38" t="str">
        <x:f>"11982324802"</x:f>
        <x:v>11982324802</x:v>
      </x:c>
      <x:c r="F38" s="38" t="str">
        <x:v>santosnayarahelena@gmail.com</x:v>
      </x:c>
      <x:c r="G38" s="39" t="n">
        <x:v>46125</x:v>
      </x:c>
      <x:c r="H38" s="16" t="str">
        <x:v>04/2026</x:v>
      </x:c>
      <x:c r="I38" s="40" t="n">
        <x:v>447.25</x:v>
      </x:c>
      <x:c r="J38" s="40" t="n">
        <x:v>476.15</x:v>
      </x:c>
      <x:c r="K38" s="16" t="str">
        <x:v>Novo</x:v>
      </x:c>
      <x:c r="L38" s="16" t="str">
        <x:v>Em aberto</x:v>
      </x:c>
      <x:c r="M38" s="16" t="str">
        <x:v>01f5b4a7-7f04-46ec-8e4e-b702e1bb7de6</x:v>
      </x:c>
      <x:c r="N38" s="41" t="str"/>
    </x:row>
    <x:row r="39">
      <x:c r="A39" s="37" t="str">
        <x:f>"1"</x:f>
        <x:v>1</x:v>
      </x:c>
      <x:c r="B39" s="38" t="str">
        <x:f>"5"</x:f>
        <x:v>5</x:v>
      </x:c>
      <x:c r="C39" s="38" t="str">
        <x:v>ANDREZZA RETORNAZ CAETANA</x:v>
      </x:c>
      <x:c r="D39" s="38" t="str">
        <x:f>"33367488879"</x:f>
        <x:v>33367488879</x:v>
      </x:c>
      <x:c r="E39" s="38" t="str">
        <x:f>"11988147724"</x:f>
        <x:v>11988147724</x:v>
      </x:c>
      <x:c r="F39" s="38" t="str">
        <x:v>andre_zzaph@hotmail.com</x:v>
      </x:c>
      <x:c r="G39" s="39" t="n">
        <x:v>46152</x:v>
      </x:c>
      <x:c r="H39" s="16" t="str">
        <x:v>05/2026</x:v>
      </x:c>
      <x:c r="I39" s="40" t="n">
        <x:v>431.8</x:v>
      </x:c>
      <x:c r="J39" s="40" t="n">
        <x:v>453.25</x:v>
      </x:c>
      <x:c r="K39" s="16" t="str">
        <x:v>Novo</x:v>
      </x:c>
      <x:c r="L39" s="16" t="str">
        <x:v>Em aberto</x:v>
      </x:c>
      <x:c r="M39" s="16" t="str">
        <x:v>541f7158-a61f-4c43-b465-f2718f071251</x:v>
      </x:c>
      <x:c r="N39" s="41" t="str"/>
    </x:row>
    <x:row r="40">
      <x:c r="A40" s="37" t="str">
        <x:f>"1"</x:f>
        <x:v>1</x:v>
      </x:c>
      <x:c r="B40" s="38" t="str">
        <x:f>"2"</x:f>
        <x:v>2</x:v>
      </x:c>
      <x:c r="C40" s="38" t="str">
        <x:v>NAYARA HELENA SANTOS</x:v>
      </x:c>
      <x:c r="D40" s="38" t="str">
        <x:f>"37830026807"</x:f>
        <x:v>37830026807</x:v>
      </x:c>
      <x:c r="E40" s="38" t="str">
        <x:f>"11982324802"</x:f>
        <x:v>11982324802</x:v>
      </x:c>
      <x:c r="F40" s="38" t="str">
        <x:v>santosnayarahelena@gmail.com</x:v>
      </x:c>
      <x:c r="G40" s="39" t="n">
        <x:v>46183</x:v>
      </x:c>
      <x:c r="H40" s="16" t="str">
        <x:v>06/2026</x:v>
      </x:c>
      <x:c r="I40" s="40" t="n">
        <x:v>454.4</x:v>
      </x:c>
      <x:c r="J40" s="40" t="n">
        <x:v>468.12</x:v>
      </x:c>
      <x:c r="K40" s="16" t="str">
        <x:v>Novo</x:v>
      </x:c>
      <x:c r="L40" s="16" t="str">
        <x:v>Em aberto</x:v>
      </x:c>
      <x:c r="M40" s="16" t="str">
        <x:v>4de76dee-bdee-4c10-bbc4-c97daf3569df</x:v>
      </x:c>
      <x:c r="N40" s="41" t="str"/>
    </x:row>
    <x:row r="41">
      <x:c r="A41" s="37" t="str">
        <x:f>"1"</x:f>
        <x:v>1</x:v>
      </x:c>
      <x:c r="B41" s="38" t="str">
        <x:f>"5"</x:f>
        <x:v>5</x:v>
      </x:c>
      <x:c r="C41" s="38" t="str">
        <x:v>ANDREZZA RETORNAZ CAETANA</x:v>
      </x:c>
      <x:c r="D41" s="38" t="str">
        <x:f>"33367488879"</x:f>
        <x:v>33367488879</x:v>
      </x:c>
      <x:c r="E41" s="38" t="str">
        <x:f>"11988147724"</x:f>
        <x:v>11988147724</x:v>
      </x:c>
      <x:c r="F41" s="38" t="str">
        <x:v>andre_zzaph@hotmail.com</x:v>
      </x:c>
      <x:c r="G41" s="39" t="n">
        <x:v>46183</x:v>
      </x:c>
      <x:c r="H41" s="16" t="str">
        <x:v>06/2026</x:v>
      </x:c>
      <x:c r="I41" s="40" t="n">
        <x:v>454.4</x:v>
      </x:c>
      <x:c r="J41" s="40" t="n">
        <x:v>468.12</x:v>
      </x:c>
      <x:c r="K41" s="16" t="str">
        <x:v>Novo</x:v>
      </x:c>
      <x:c r="L41" s="16" t="str">
        <x:v>Em aberto</x:v>
      </x:c>
      <x:c r="M41" s="16" t="str">
        <x:v>41ab7fbf-6ab0-49b6-821a-e404dbb166d4</x:v>
      </x:c>
      <x:c r="N41" s="41" t="str"/>
    </x:row>
    <x:row r="42">
      <x:c r="A42" s="37" t="str">
        <x:f>"3"</x:f>
        <x:v>3</x:v>
      </x:c>
      <x:c r="B42" s="38" t="str">
        <x:f>"2"</x:f>
        <x:v>2</x:v>
      </x:c>
      <x:c r="C42" s="38" t="str">
        <x:v>ELCIO PONTES DE TILIO</x:v>
      </x:c>
      <x:c r="D42" s="38" t="str">
        <x:f>"34715014874"</x:f>
        <x:v>34715014874</x:v>
      </x:c>
      <x:c r="E42" s="38" t="str">
        <x:f>"11958323942"</x:f>
        <x:v>11958323942</x:v>
      </x:c>
      <x:c r="F42" s="38" t="str">
        <x:v>elciotilio@gmail.com</x:v>
      </x:c>
      <x:c r="G42" s="39" t="n">
        <x:v>46063</x:v>
      </x:c>
      <x:c r="H42" s="16" t="str">
        <x:v>02/2026</x:v>
      </x:c>
      <x:c r="I42" s="40" t="n">
        <x:v>426.2</x:v>
      </x:c>
      <x:c r="J42" s="40" t="n">
        <x:v>467.36</x:v>
      </x:c>
      <x:c r="K42" s="16" t="str">
        <x:v>Novo</x:v>
      </x:c>
      <x:c r="L42" s="16" t="str">
        <x:v>Em aberto</x:v>
      </x:c>
      <x:c r="M42" s="16" t="str">
        <x:v>1987f9fa-72b7-4da7-8025-118c5d38e108</x:v>
      </x:c>
      <x:c r="N42" s="41" t="str"/>
    </x:row>
    <x:row r="43">
      <x:c r="A43" s="37" t="str">
        <x:f>"3"</x:f>
        <x:v>3</x:v>
      </x:c>
      <x:c r="B43" s="38" t="str">
        <x:f>"2"</x:f>
        <x:v>2</x:v>
      </x:c>
      <x:c r="C43" s="38" t="str">
        <x:v>ELCIO PONTES DE TILIO</x:v>
      </x:c>
      <x:c r="D43" s="38" t="str">
        <x:f>"34715014874"</x:f>
        <x:v>34715014874</x:v>
      </x:c>
      <x:c r="E43" s="38" t="str">
        <x:f>"11958323942"</x:f>
        <x:v>11958323942</x:v>
      </x:c>
      <x:c r="F43" s="38" t="str">
        <x:v>elciotilio@gmail.com</x:v>
      </x:c>
      <x:c r="G43" s="39" t="n">
        <x:v>46091</x:v>
      </x:c>
      <x:c r="H43" s="16" t="str">
        <x:v>03/2026</x:v>
      </x:c>
      <x:c r="I43" s="40" t="n">
        <x:v>431.37</x:v>
      </x:c>
      <x:c r="J43" s="40" t="n">
        <x:v>467.6</x:v>
      </x:c>
      <x:c r="K43" s="16" t="str">
        <x:v>Novo</x:v>
      </x:c>
      <x:c r="L43" s="16" t="str">
        <x:v>Em aberto</x:v>
      </x:c>
      <x:c r="M43" s="16" t="str">
        <x:v>c96a67be-b241-415f-870a-86af55e576c5</x:v>
      </x:c>
      <x:c r="N43" s="41" t="str"/>
    </x:row>
    <x:row r="44">
      <x:c r="A44" s="37" t="str">
        <x:f>"3"</x:f>
        <x:v>3</x:v>
      </x:c>
      <x:c r="B44" s="38" t="str">
        <x:f>"3"</x:f>
        <x:v>3</x:v>
      </x:c>
      <x:c r="C44" s="38" t="str">
        <x:v>JOÃO BATISTA MACENA</x:v>
      </x:c>
      <x:c r="D44" s="38" t="str">
        <x:f>"10324037805"</x:f>
        <x:v>10324037805</x:v>
      </x:c>
      <x:c r="E44" s="38" t="str">
        <x:f>"11954592659"</x:f>
        <x:v>11954592659</x:v>
      </x:c>
      <x:c r="F44" s="38" t="str">
        <x:v>juliannamacenas@gmail.com</x:v>
      </x:c>
      <x:c r="G44" s="39" t="n">
        <x:v>46091</x:v>
      </x:c>
      <x:c r="H44" s="16" t="str">
        <x:v>03/2026</x:v>
      </x:c>
      <x:c r="I44" s="40" t="n">
        <x:v>431.37</x:v>
      </x:c>
      <x:c r="J44" s="40" t="n">
        <x:v>467.6</x:v>
      </x:c>
      <x:c r="K44" s="16" t="str">
        <x:v>Novo</x:v>
      </x:c>
      <x:c r="L44" s="16" t="str">
        <x:v>Em aberto</x:v>
      </x:c>
      <x:c r="M44" s="16" t="str">
        <x:v>f69b644b-9c70-4157-a5f1-bdbb97a62664</x:v>
      </x:c>
      <x:c r="N44" s="41" t="str"/>
    </x:row>
    <x:row r="45">
      <x:c r="A45" s="37" t="str">
        <x:f>"3"</x:f>
        <x:v>3</x:v>
      </x:c>
      <x:c r="B45" s="38" t="str">
        <x:f>"2"</x:f>
        <x:v>2</x:v>
      </x:c>
      <x:c r="C45" s="38" t="str">
        <x:v>ELCIO PONTES DE TILIO</x:v>
      </x:c>
      <x:c r="D45" s="38" t="str">
        <x:f>"34715014874"</x:f>
        <x:v>34715014874</x:v>
      </x:c>
      <x:c r="E45" s="38" t="str">
        <x:f>"11958323942"</x:f>
        <x:v>11958323942</x:v>
      </x:c>
      <x:c r="F45" s="38" t="str">
        <x:v>elciotilio@gmail.com</x:v>
      </x:c>
      <x:c r="G45" s="39" t="n">
        <x:v>46125</x:v>
      </x:c>
      <x:c r="H45" s="16" t="str">
        <x:v>04/2026</x:v>
      </x:c>
      <x:c r="I45" s="40" t="n">
        <x:v>432.83</x:v>
      </x:c>
      <x:c r="J45" s="40" t="n">
        <x:v>460.8</x:v>
      </x:c>
      <x:c r="K45" s="16" t="str">
        <x:v>Novo</x:v>
      </x:c>
      <x:c r="L45" s="16" t="str">
        <x:v>Em aberto</x:v>
      </x:c>
      <x:c r="M45" s="16" t="str">
        <x:v>7c5ab955-418f-4b63-833c-d7470c4d46d3</x:v>
      </x:c>
      <x:c r="N45" s="41" t="str"/>
    </x:row>
    <x:row r="46">
      <x:c r="A46" s="37" t="str">
        <x:f>"3"</x:f>
        <x:v>3</x:v>
      </x:c>
      <x:c r="B46" s="38" t="str">
        <x:f>"3"</x:f>
        <x:v>3</x:v>
      </x:c>
      <x:c r="C46" s="38" t="str">
        <x:v>JOÃO BATISTA MACENA</x:v>
      </x:c>
      <x:c r="D46" s="38" t="str">
        <x:f>"10324037805"</x:f>
        <x:v>10324037805</x:v>
      </x:c>
      <x:c r="E46" s="38" t="str">
        <x:f>"11954592659"</x:f>
        <x:v>11954592659</x:v>
      </x:c>
      <x:c r="F46" s="38" t="str">
        <x:v>juliannamacenas@gmail.com</x:v>
      </x:c>
      <x:c r="G46" s="39" t="n">
        <x:v>46125</x:v>
      </x:c>
      <x:c r="H46" s="16" t="str">
        <x:v>04/2026</x:v>
      </x:c>
      <x:c r="I46" s="40" t="n">
        <x:v>432.83</x:v>
      </x:c>
      <x:c r="J46" s="40" t="n">
        <x:v>460.8</x:v>
      </x:c>
      <x:c r="K46" s="16" t="str">
        <x:v>Novo</x:v>
      </x:c>
      <x:c r="L46" s="16" t="str">
        <x:v>Em aberto</x:v>
      </x:c>
      <x:c r="M46" s="16" t="str">
        <x:v>5abf26cf-5542-4681-8958-ea90cef595d0</x:v>
      </x:c>
      <x:c r="N46" s="41" t="str"/>
    </x:row>
    <x:row r="47">
      <x:c r="A47" s="37" t="str">
        <x:f>"3"</x:f>
        <x:v>3</x:v>
      </x:c>
      <x:c r="B47" s="38" t="str">
        <x:f>"2"</x:f>
        <x:v>2</x:v>
      </x:c>
      <x:c r="C47" s="38" t="str">
        <x:v>ELCIO PONTES DE TILIO</x:v>
      </x:c>
      <x:c r="D47" s="38" t="str">
        <x:f>"34715014874"</x:f>
        <x:v>34715014874</x:v>
      </x:c>
      <x:c r="E47" s="38" t="str">
        <x:f>"11958323942"</x:f>
        <x:v>11958323942</x:v>
      </x:c>
      <x:c r="F47" s="38" t="str">
        <x:v>elciotilio@gmail.com</x:v>
      </x:c>
      <x:c r="G47" s="39" t="n">
        <x:v>46152</x:v>
      </x:c>
      <x:c r="H47" s="16" t="str">
        <x:v>05/2026</x:v>
      </x:c>
      <x:c r="I47" s="40" t="n">
        <x:v>417.87</x:v>
      </x:c>
      <x:c r="J47" s="40" t="n">
        <x:v>438.62</x:v>
      </x:c>
      <x:c r="K47" s="16" t="str">
        <x:v>Novo</x:v>
      </x:c>
      <x:c r="L47" s="16" t="str">
        <x:v>Em aberto</x:v>
      </x:c>
      <x:c r="M47" s="16" t="str">
        <x:v>c9e9a715-9dee-473e-8d24-57a699255c7e</x:v>
      </x:c>
      <x:c r="N47" s="41" t="str"/>
    </x:row>
    <x:row r="48">
      <x:c r="A48" s="37" t="str">
        <x:f>"3"</x:f>
        <x:v>3</x:v>
      </x:c>
      <x:c r="B48" s="38" t="str">
        <x:f>"3"</x:f>
        <x:v>3</x:v>
      </x:c>
      <x:c r="C48" s="38" t="str">
        <x:v>JOÃO BATISTA MACENA</x:v>
      </x:c>
      <x:c r="D48" s="38" t="str">
        <x:f>"10324037805"</x:f>
        <x:v>10324037805</x:v>
      </x:c>
      <x:c r="E48" s="38" t="str">
        <x:f>"11954592659"</x:f>
        <x:v>11954592659</x:v>
      </x:c>
      <x:c r="F48" s="38" t="str">
        <x:v>juliannamacenas@gmail.com</x:v>
      </x:c>
      <x:c r="G48" s="39" t="n">
        <x:v>46152</x:v>
      </x:c>
      <x:c r="H48" s="16" t="str">
        <x:v>05/2026</x:v>
      </x:c>
      <x:c r="I48" s="40" t="n">
        <x:v>417.87</x:v>
      </x:c>
      <x:c r="J48" s="40" t="n">
        <x:v>438.62</x:v>
      </x:c>
      <x:c r="K48" s="16" t="str">
        <x:v>Novo</x:v>
      </x:c>
      <x:c r="L48" s="16" t="str">
        <x:v>Em aberto</x:v>
      </x:c>
      <x:c r="M48" s="16" t="str">
        <x:v>83ed9d32-3c99-4c97-9d8b-dbb955ac6d5d</x:v>
      </x:c>
      <x:c r="N48" s="41" t="str"/>
    </x:row>
    <x:row r="49">
      <x:c r="A49" s="37" t="str">
        <x:f>"3"</x:f>
        <x:v>3</x:v>
      </x:c>
      <x:c r="B49" s="38" t="str">
        <x:f>"2"</x:f>
        <x:v>2</x:v>
      </x:c>
      <x:c r="C49" s="38" t="str">
        <x:v>ELCIO PONTES DE TILIO</x:v>
      </x:c>
      <x:c r="D49" s="38" t="str">
        <x:f>"34715014874"</x:f>
        <x:v>34715014874</x:v>
      </x:c>
      <x:c r="E49" s="38" t="str">
        <x:f>"11958323942"</x:f>
        <x:v>11958323942</x:v>
      </x:c>
      <x:c r="F49" s="38" t="str">
        <x:v>elciotilio@gmail.com</x:v>
      </x:c>
      <x:c r="G49" s="39" t="n">
        <x:v>46183</x:v>
      </x:c>
      <x:c r="H49" s="16" t="str">
        <x:v>06/2026</x:v>
      </x:c>
      <x:c r="I49" s="40" t="n">
        <x:v>439.74</x:v>
      </x:c>
      <x:c r="J49" s="40" t="n">
        <x:v>453.02</x:v>
      </x:c>
      <x:c r="K49" s="16" t="str">
        <x:v>Novo</x:v>
      </x:c>
      <x:c r="L49" s="16" t="str">
        <x:v>Em aberto</x:v>
      </x:c>
      <x:c r="M49" s="16" t="str">
        <x:v>e635e7bd-999f-4727-9803-3edf01474764</x:v>
      </x:c>
      <x:c r="N49" s="41" t="str"/>
    </x:row>
    <x:row r="50">
      <x:c r="A50" s="37" t="str">
        <x:f>"3"</x:f>
        <x:v>3</x:v>
      </x:c>
      <x:c r="B50" s="38" t="str">
        <x:f>"3"</x:f>
        <x:v>3</x:v>
      </x:c>
      <x:c r="C50" s="38" t="str">
        <x:v>JOÃO BATISTA MACENA</x:v>
      </x:c>
      <x:c r="D50" s="38" t="str">
        <x:f>"10324037805"</x:f>
        <x:v>10324037805</x:v>
      </x:c>
      <x:c r="E50" s="38" t="str">
        <x:f>"11954592659"</x:f>
        <x:v>11954592659</x:v>
      </x:c>
      <x:c r="F50" s="38" t="str">
        <x:v>juliannamacenas@gmail.com</x:v>
      </x:c>
      <x:c r="G50" s="39" t="n">
        <x:v>46183</x:v>
      </x:c>
      <x:c r="H50" s="16" t="str">
        <x:v>06/2026</x:v>
      </x:c>
      <x:c r="I50" s="40" t="n">
        <x:v>439.74</x:v>
      </x:c>
      <x:c r="J50" s="40" t="n">
        <x:v>453.02</x:v>
      </x:c>
      <x:c r="K50" s="16" t="str">
        <x:v>Novo</x:v>
      </x:c>
      <x:c r="L50" s="16" t="str">
        <x:v>Em aberto</x:v>
      </x:c>
      <x:c r="M50" s="16" t="str">
        <x:v>dd74de21-a64f-4110-afb7-e3a575991863</x:v>
      </x:c>
      <x:c r="N50" s="41" t="str"/>
    </x:row>
    <x:row r="51">
      <x:c r="A51" s="37" t="str">
        <x:f>"4"</x:f>
        <x:v>4</x:v>
      </x:c>
      <x:c r="B51" s="38" t="str">
        <x:f>"4"</x:f>
        <x:v>4</x:v>
      </x:c>
      <x:c r="C51" s="38" t="str">
        <x:v>DEBORA DOS SANTOS SANTANA</x:v>
      </x:c>
      <x:c r="D51" s="38" t="str">
        <x:f>"86250447512"</x:f>
        <x:v>86250447512</x:v>
      </x:c>
      <x:c r="E51" s="38" t="str">
        <x:f>"11984041569"</x:f>
        <x:v>11984041569</x:v>
      </x:c>
      <x:c r="F51" s="38" t="str">
        <x:v>deborassanttanna@gmail.com</x:v>
      </x:c>
      <x:c r="G51" s="39" t="n">
        <x:v>46063</x:v>
      </x:c>
      <x:c r="H51" s="16" t="str">
        <x:v>02/2026</x:v>
      </x:c>
      <x:c r="I51" s="40" t="n">
        <x:v>440.4</x:v>
      </x:c>
      <x:c r="J51" s="40" t="n">
        <x:v>482.94</x:v>
      </x:c>
      <x:c r="K51" s="16" t="str">
        <x:v>Novo</x:v>
      </x:c>
      <x:c r="L51" s="16" t="str">
        <x:v>Em aberto</x:v>
      </x:c>
      <x:c r="M51" s="16" t="str">
        <x:v>694ec033-9209-4ada-8e7b-3e0307ca15c0</x:v>
      </x:c>
      <x:c r="N51" s="41" t="str"/>
    </x:row>
    <x:row r="52">
      <x:c r="A52" s="37" t="str">
        <x:f>"4"</x:f>
        <x:v>4</x:v>
      </x:c>
      <x:c r="B52" s="38" t="str">
        <x:f>"4"</x:f>
        <x:v>4</x:v>
      </x:c>
      <x:c r="C52" s="38" t="str">
        <x:v>DEBORA DOS SANTOS SANTANA</x:v>
      </x:c>
      <x:c r="D52" s="38" t="str">
        <x:f>"86250447512"</x:f>
        <x:v>86250447512</x:v>
      </x:c>
      <x:c r="E52" s="38" t="str">
        <x:f>"11984041569"</x:f>
        <x:v>11984041569</x:v>
      </x:c>
      <x:c r="F52" s="38" t="str">
        <x:v>deborassanttanna@gmail.com</x:v>
      </x:c>
      <x:c r="G52" s="39" t="n">
        <x:v>46091</x:v>
      </x:c>
      <x:c r="H52" s="16" t="str">
        <x:v>03/2026</x:v>
      </x:c>
      <x:c r="I52" s="40" t="n">
        <x:v>445.74</x:v>
      </x:c>
      <x:c r="J52" s="40" t="n">
        <x:v>483.16</x:v>
      </x:c>
      <x:c r="K52" s="16" t="str">
        <x:v>Novo</x:v>
      </x:c>
      <x:c r="L52" s="16" t="str">
        <x:v>Em aberto</x:v>
      </x:c>
      <x:c r="M52" s="16" t="str">
        <x:v>700d9077-dbe6-4011-91a2-3f28a1af63b3</x:v>
      </x:c>
      <x:c r="N52" s="41" t="str"/>
    </x:row>
    <x:row r="53">
      <x:c r="A53" s="37" t="str">
        <x:f>"4"</x:f>
        <x:v>4</x:v>
      </x:c>
      <x:c r="B53" s="38" t="str">
        <x:f>"4"</x:f>
        <x:v>4</x:v>
      </x:c>
      <x:c r="C53" s="38" t="str">
        <x:v>DEBORA DOS SANTOS SANTANA</x:v>
      </x:c>
      <x:c r="D53" s="38" t="str">
        <x:f>"86250447512"</x:f>
        <x:v>86250447512</x:v>
      </x:c>
      <x:c r="E53" s="38" t="str">
        <x:f>"11984041569"</x:f>
        <x:v>11984041569</x:v>
      </x:c>
      <x:c r="F53" s="38" t="str">
        <x:v>deborassanttanna@gmail.com</x:v>
      </x:c>
      <x:c r="G53" s="39" t="n">
        <x:v>46125</x:v>
      </x:c>
      <x:c r="H53" s="16" t="str">
        <x:v>04/2026</x:v>
      </x:c>
      <x:c r="I53" s="40" t="n">
        <x:v>447.25</x:v>
      </x:c>
      <x:c r="J53" s="40" t="n">
        <x:v>476.15</x:v>
      </x:c>
      <x:c r="K53" s="16" t="str">
        <x:v>Novo</x:v>
      </x:c>
      <x:c r="L53" s="16" t="str">
        <x:v>Em aberto</x:v>
      </x:c>
      <x:c r="M53" s="16" t="str">
        <x:v>e3093435-12fc-4bd7-a1e5-90d24f8f3724</x:v>
      </x:c>
      <x:c r="N53" s="41" t="str"/>
    </x:row>
    <x:row r="54">
      <x:c r="A54" s="37" t="str">
        <x:f>"4"</x:f>
        <x:v>4</x:v>
      </x:c>
      <x:c r="B54" s="38" t="str">
        <x:f>"4"</x:f>
        <x:v>4</x:v>
      </x:c>
      <x:c r="C54" s="38" t="str">
        <x:v>DEBORA DOS SANTOS SANTANA</x:v>
      </x:c>
      <x:c r="D54" s="38" t="str">
        <x:f>"86250447512"</x:f>
        <x:v>86250447512</x:v>
      </x:c>
      <x:c r="E54" s="38" t="str">
        <x:f>"11984041569"</x:f>
        <x:v>11984041569</x:v>
      </x:c>
      <x:c r="F54" s="38" t="str">
        <x:v>deborassanttanna@gmail.com</x:v>
      </x:c>
      <x:c r="G54" s="39" t="n">
        <x:v>46152</x:v>
      </x:c>
      <x:c r="H54" s="16" t="str">
        <x:v>05/2026</x:v>
      </x:c>
      <x:c r="I54" s="40" t="n">
        <x:v>431.8</x:v>
      </x:c>
      <x:c r="J54" s="40" t="n">
        <x:v>453.25</x:v>
      </x:c>
      <x:c r="K54" s="16" t="str">
        <x:v>Novo</x:v>
      </x:c>
      <x:c r="L54" s="16" t="str">
        <x:v>Em aberto</x:v>
      </x:c>
      <x:c r="M54" s="16" t="str">
        <x:v>b13e56b2-31a8-451d-983e-9fe88a9814da</x:v>
      </x:c>
      <x:c r="N54" s="41" t="str"/>
    </x:row>
    <x:row r="55">
      <x:c r="A55" s="37" t="str">
        <x:f>"4"</x:f>
        <x:v>4</x:v>
      </x:c>
      <x:c r="B55" s="38" t="str">
        <x:f>"4"</x:f>
        <x:v>4</x:v>
      </x:c>
      <x:c r="C55" s="38" t="str">
        <x:v>DEBORA DOS SANTOS SANTANA</x:v>
      </x:c>
      <x:c r="D55" s="38" t="str">
        <x:f>"86250447512"</x:f>
        <x:v>86250447512</x:v>
      </x:c>
      <x:c r="E55" s="38" t="str">
        <x:f>"11984041569"</x:f>
        <x:v>11984041569</x:v>
      </x:c>
      <x:c r="F55" s="38" t="str">
        <x:v>deborassanttanna@gmail.com</x:v>
      </x:c>
      <x:c r="G55" s="39" t="n">
        <x:v>46183</x:v>
      </x:c>
      <x:c r="H55" s="16" t="str">
        <x:v>06/2026</x:v>
      </x:c>
      <x:c r="I55" s="40" t="n">
        <x:v>454.4</x:v>
      </x:c>
      <x:c r="J55" s="40" t="n">
        <x:v>468.12</x:v>
      </x:c>
      <x:c r="K55" s="16" t="str">
        <x:v>Novo</x:v>
      </x:c>
      <x:c r="L55" s="16" t="str">
        <x:v>Em aberto</x:v>
      </x:c>
      <x:c r="M55" s="16" t="str">
        <x:v>f20e1b7f-296e-4c44-9ebc-2cdbd6a0ad5e</x:v>
      </x:c>
      <x:c r="N55" s="41" t="str"/>
    </x:row>
    <x:row r="56">
      <x:c r="A56" s="37" t="str">
        <x:f>"6"</x:f>
        <x:v>6</x:v>
      </x:c>
      <x:c r="B56" s="38" t="str">
        <x:f>"6"</x:f>
        <x:v>6</x:v>
      </x:c>
      <x:c r="C56" s="38" t="str">
        <x:v>LIDIANE FERREIRA MARQUES</x:v>
      </x:c>
      <x:c r="D56" s="38" t="str">
        <x:f>"40357132874"</x:f>
        <x:v>40357132874</x:v>
      </x:c>
      <x:c r="E56" s="38" t="str">
        <x:f>"11932299429"</x:f>
        <x:v>11932299429</x:v>
      </x:c>
      <x:c r="F56" s="38" t="str">
        <x:v>bellalidiane@hotmail.com</x:v>
      </x:c>
      <x:c r="G56" s="39" t="n">
        <x:v>46125</x:v>
      </x:c>
      <x:c r="H56" s="16" t="str">
        <x:v>04/2026</x:v>
      </x:c>
      <x:c r="I56" s="40" t="n">
        <x:v>432.83</x:v>
      </x:c>
      <x:c r="J56" s="40" t="n">
        <x:v>460.8</x:v>
      </x:c>
      <x:c r="K56" s="16" t="str">
        <x:v>Novo</x:v>
      </x:c>
      <x:c r="L56" s="16" t="str">
        <x:v>Em aberto</x:v>
      </x:c>
      <x:c r="M56" s="16" t="str">
        <x:v>fd4ff12d-b9f7-4a0c-9c80-921c1ced338d</x:v>
      </x:c>
      <x:c r="N56" s="41" t="str"/>
    </x:row>
    <x:row r="57">
      <x:c r="A57" s="37" t="str">
        <x:f>"6"</x:f>
        <x:v>6</x:v>
      </x:c>
      <x:c r="B57" s="38" t="str">
        <x:f>"6"</x:f>
        <x:v>6</x:v>
      </x:c>
      <x:c r="C57" s="38" t="str">
        <x:v>LIDIANE FERREIRA MARQUES</x:v>
      </x:c>
      <x:c r="D57" s="38" t="str">
        <x:f>"40357132874"</x:f>
        <x:v>40357132874</x:v>
      </x:c>
      <x:c r="E57" s="38" t="str">
        <x:f>"11932299429"</x:f>
        <x:v>11932299429</x:v>
      </x:c>
      <x:c r="F57" s="38" t="str">
        <x:v>bellalidiane@hotmail.com</x:v>
      </x:c>
      <x:c r="G57" s="39" t="n">
        <x:v>46152</x:v>
      </x:c>
      <x:c r="H57" s="16" t="str">
        <x:v>05/2026</x:v>
      </x:c>
      <x:c r="I57" s="40" t="n">
        <x:v>417.87</x:v>
      </x:c>
      <x:c r="J57" s="40" t="n">
        <x:v>438.62</x:v>
      </x:c>
      <x:c r="K57" s="16" t="str">
        <x:v>Novo</x:v>
      </x:c>
      <x:c r="L57" s="16" t="str">
        <x:v>Em aberto</x:v>
      </x:c>
      <x:c r="M57" s="16" t="str">
        <x:v>ef233841-7d8e-46eb-89d8-396ed71af9d1</x:v>
      </x:c>
      <x:c r="N57" s="41" t="str"/>
    </x:row>
    <x:row r="58">
      <x:c r="A58" s="37" t="str">
        <x:f>"7"</x:f>
        <x:v>7</x:v>
      </x:c>
      <x:c r="B58" s="38" t="str">
        <x:f>"4"</x:f>
        <x:v>4</x:v>
      </x:c>
      <x:c r="C58" s="38" t="str">
        <x:v>CAIO GUSTAVO SANTOS CRISOSTOMO</x:v>
      </x:c>
      <x:c r="D58" s="38" t="str">
        <x:f>"32698122803"</x:f>
        <x:v>32698122803</x:v>
      </x:c>
      <x:c r="E58" s="38" t="str">
        <x:f>"11974030704"</x:f>
        <x:v>11974030704</x:v>
      </x:c>
      <x:c r="F58" s="38" t="str">
        <x:v>gustawo_711@hotmail.com</x:v>
      </x:c>
      <x:c r="G58" s="39" t="n">
        <x:v>46063</x:v>
      </x:c>
      <x:c r="H58" s="16" t="str">
        <x:v>02/2026</x:v>
      </x:c>
      <x:c r="I58" s="40" t="n">
        <x:v>426.2</x:v>
      </x:c>
      <x:c r="J58" s="40" t="n">
        <x:v>467.36</x:v>
      </x:c>
      <x:c r="K58" s="16" t="str">
        <x:v>Novo</x:v>
      </x:c>
      <x:c r="L58" s="16" t="str">
        <x:v>Em aberto</x:v>
      </x:c>
      <x:c r="M58" s="16" t="str">
        <x:v>dfb6e5cf-7b87-4255-ab59-43fba0ebb44b</x:v>
      </x:c>
      <x:c r="N58" s="41" t="str"/>
    </x:row>
    <x:row r="59">
      <x:c r="A59" s="37" t="str">
        <x:f>"7"</x:f>
        <x:v>7</x:v>
      </x:c>
      <x:c r="B59" s="38" t="str">
        <x:f>"4"</x:f>
        <x:v>4</x:v>
      </x:c>
      <x:c r="C59" s="38" t="str">
        <x:v>CAIO GUSTAVO SANTOS CRISOSTOMO</x:v>
      </x:c>
      <x:c r="D59" s="38" t="str">
        <x:f>"32698122803"</x:f>
        <x:v>32698122803</x:v>
      </x:c>
      <x:c r="E59" s="38" t="str">
        <x:f>"11974030704"</x:f>
        <x:v>11974030704</x:v>
      </x:c>
      <x:c r="F59" s="38" t="str">
        <x:v>gustawo_711@hotmail.com</x:v>
      </x:c>
      <x:c r="G59" s="39" t="n">
        <x:v>46091</x:v>
      </x:c>
      <x:c r="H59" s="16" t="str">
        <x:v>03/2026</x:v>
      </x:c>
      <x:c r="I59" s="40" t="n">
        <x:v>431.37</x:v>
      </x:c>
      <x:c r="J59" s="40" t="n">
        <x:v>467.6</x:v>
      </x:c>
      <x:c r="K59" s="16" t="str">
        <x:v>Novo</x:v>
      </x:c>
      <x:c r="L59" s="16" t="str">
        <x:v>Em aberto</x:v>
      </x:c>
      <x:c r="M59" s="16" t="str">
        <x:v>304f8a23-a790-4a4a-a11b-dea2633465e5</x:v>
      </x:c>
      <x:c r="N59" s="41" t="str"/>
    </x:row>
    <x:row r="60">
      <x:c r="A60" s="37" t="str">
        <x:f>"7"</x:f>
        <x:v>7</x:v>
      </x:c>
      <x:c r="B60" s="38" t="str">
        <x:f>"4"</x:f>
        <x:v>4</x:v>
      </x:c>
      <x:c r="C60" s="38" t="str">
        <x:v>CAIO GUSTAVO SANTOS CRISOSTOMO</x:v>
      </x:c>
      <x:c r="D60" s="38" t="str">
        <x:f>"32698122803"</x:f>
        <x:v>32698122803</x:v>
      </x:c>
      <x:c r="E60" s="38" t="str">
        <x:f>"11974030704"</x:f>
        <x:v>11974030704</x:v>
      </x:c>
      <x:c r="F60" s="38" t="str">
        <x:v>gustawo_711@hotmail.com</x:v>
      </x:c>
      <x:c r="G60" s="39" t="n">
        <x:v>46125</x:v>
      </x:c>
      <x:c r="H60" s="16" t="str">
        <x:v>04/2026</x:v>
      </x:c>
      <x:c r="I60" s="40" t="n">
        <x:v>432.83</x:v>
      </x:c>
      <x:c r="J60" s="40" t="n">
        <x:v>460.8</x:v>
      </x:c>
      <x:c r="K60" s="16" t="str">
        <x:v>Novo</x:v>
      </x:c>
      <x:c r="L60" s="16" t="str">
        <x:v>Em aberto</x:v>
      </x:c>
      <x:c r="M60" s="16" t="str">
        <x:v>87b8d13c-8a4e-462d-9dff-8c05cb4bd8d1</x:v>
      </x:c>
      <x:c r="N60" s="41" t="str"/>
    </x:row>
    <x:row r="61">
      <x:c r="A61" s="37" t="str">
        <x:f>"7"</x:f>
        <x:v>7</x:v>
      </x:c>
      <x:c r="B61" s="38" t="str">
        <x:f>"4"</x:f>
        <x:v>4</x:v>
      </x:c>
      <x:c r="C61" s="38" t="str">
        <x:v>CAIO GUSTAVO SANTOS CRISOSTOMO</x:v>
      </x:c>
      <x:c r="D61" s="38" t="str">
        <x:f>"32698122803"</x:f>
        <x:v>32698122803</x:v>
      </x:c>
      <x:c r="E61" s="38" t="str">
        <x:f>"11974030704"</x:f>
        <x:v>11974030704</x:v>
      </x:c>
      <x:c r="F61" s="38" t="str">
        <x:v>gustawo_711@hotmail.com</x:v>
      </x:c>
      <x:c r="G61" s="39" t="n">
        <x:v>46152</x:v>
      </x:c>
      <x:c r="H61" s="16" t="str">
        <x:v>05/2026</x:v>
      </x:c>
      <x:c r="I61" s="40" t="n">
        <x:v>417.87</x:v>
      </x:c>
      <x:c r="J61" s="40" t="n">
        <x:v>438.62</x:v>
      </x:c>
      <x:c r="K61" s="16" t="str">
        <x:v>Novo</x:v>
      </x:c>
      <x:c r="L61" s="16" t="str">
        <x:v>Em aberto</x:v>
      </x:c>
      <x:c r="M61" s="16" t="str">
        <x:v>b088c912-c068-42bf-b6b0-31f1953c8478</x:v>
      </x:c>
      <x:c r="N61" s="41" t="str"/>
    </x:row>
    <x:row r="62">
      <x:c r="A62" s="37" t="str">
        <x:f>"7"</x:f>
        <x:v>7</x:v>
      </x:c>
      <x:c r="B62" s="38" t="str">
        <x:f>"4"</x:f>
        <x:v>4</x:v>
      </x:c>
      <x:c r="C62" s="38" t="str">
        <x:v>CAIO GUSTAVO SANTOS CRISOSTOMO</x:v>
      </x:c>
      <x:c r="D62" s="38" t="str">
        <x:f>"32698122803"</x:f>
        <x:v>32698122803</x:v>
      </x:c>
      <x:c r="E62" s="38" t="str">
        <x:f>"11974030704"</x:f>
        <x:v>11974030704</x:v>
      </x:c>
      <x:c r="F62" s="38" t="str">
        <x:v>gustawo_711@hotmail.com</x:v>
      </x:c>
      <x:c r="G62" s="39" t="n">
        <x:v>46183</x:v>
      </x:c>
      <x:c r="H62" s="16" t="str">
        <x:v>06/2026</x:v>
      </x:c>
      <x:c r="I62" s="40" t="n">
        <x:v>439.74</x:v>
      </x:c>
      <x:c r="J62" s="40" t="n">
        <x:v>453.02</x:v>
      </x:c>
      <x:c r="K62" s="16" t="str">
        <x:v>Novo</x:v>
      </x:c>
      <x:c r="L62" s="16" t="str">
        <x:v>Em aberto</x:v>
      </x:c>
      <x:c r="M62" s="16" t="str">
        <x:v>44812d0b-4b45-4119-8d56-71cea0228a06</x:v>
      </x:c>
      <x:c r="N62" s="41" t="str"/>
    </x:row>
    <x:row r="63">
      <x:c r="A63" s="37" t="str">
        <x:f>"8"</x:f>
        <x:v>8</x:v>
      </x:c>
      <x:c r="B63" s="38" t="str">
        <x:f>"5"</x:f>
        <x:v>5</x:v>
      </x:c>
      <x:c r="C63" s="38" t="str">
        <x:v>MARIA APARECIDA DA SILVA FERNANDES</x:v>
      </x:c>
      <x:c r="D63" s="38" t="str">
        <x:f>"26585020871"</x:f>
        <x:v>26585020871</x:v>
      </x:c>
      <x:c r="E63" s="38" t="str">
        <x:f>"11977719405"</x:f>
        <x:v>11977719405</x:v>
      </x:c>
      <x:c r="F63" s="38" t="str">
        <x:v>priscilla.mariafernanda@hotmail.com</x:v>
      </x:c>
      <x:c r="G63" s="39" t="n">
        <x:v>46091</x:v>
      </x:c>
      <x:c r="H63" s="16" t="str">
        <x:v>03/2026</x:v>
      </x:c>
      <x:c r="I63" s="40" t="n">
        <x:v>445.74</x:v>
      </x:c>
      <x:c r="J63" s="40" t="n">
        <x:v>483.16</x:v>
      </x:c>
      <x:c r="K63" s="16" t="str">
        <x:v>Novo</x:v>
      </x:c>
      <x:c r="L63" s="16" t="str">
        <x:v>Em aberto</x:v>
      </x:c>
      <x:c r="M63" s="16" t="str">
        <x:v>e8873f84-e77e-4ab8-a01e-3cc8767f9fa7</x:v>
      </x:c>
      <x:c r="N63" s="41" t="str"/>
    </x:row>
    <x:row r="64">
      <x:c r="A64" s="37" t="str">
        <x:f>"8"</x:f>
        <x:v>8</x:v>
      </x:c>
      <x:c r="B64" s="38" t="str">
        <x:f>"5"</x:f>
        <x:v>5</x:v>
      </x:c>
      <x:c r="C64" s="38" t="str">
        <x:v>MARIA APARECIDA DA SILVA FERNANDES</x:v>
      </x:c>
      <x:c r="D64" s="38" t="str">
        <x:f>"26585020871"</x:f>
        <x:v>26585020871</x:v>
      </x:c>
      <x:c r="E64" s="38" t="str">
        <x:f>"11977719405"</x:f>
        <x:v>11977719405</x:v>
      </x:c>
      <x:c r="F64" s="38" t="str">
        <x:v>priscilla.mariafernanda@hotmail.com</x:v>
      </x:c>
      <x:c r="G64" s="39" t="n">
        <x:v>46125</x:v>
      </x:c>
      <x:c r="H64" s="16" t="str">
        <x:v>04/2026</x:v>
      </x:c>
      <x:c r="I64" s="40" t="n">
        <x:v>447.25</x:v>
      </x:c>
      <x:c r="J64" s="40" t="n">
        <x:v>476.15</x:v>
      </x:c>
      <x:c r="K64" s="16" t="str">
        <x:v>Novo</x:v>
      </x:c>
      <x:c r="L64" s="16" t="str">
        <x:v>Em aberto</x:v>
      </x:c>
      <x:c r="M64" s="16" t="str">
        <x:v>78d8682c-7649-4136-9d9b-8cf937b52ef2</x:v>
      </x:c>
      <x:c r="N64" s="41" t="str"/>
    </x:row>
    <x:row r="65">
      <x:c r="A65" s="37" t="str">
        <x:f>"8"</x:f>
        <x:v>8</x:v>
      </x:c>
      <x:c r="B65" s="38" t="str">
        <x:f>"5"</x:f>
        <x:v>5</x:v>
      </x:c>
      <x:c r="C65" s="38" t="str">
        <x:v>MARIA APARECIDA DA SILVA FERNANDES</x:v>
      </x:c>
      <x:c r="D65" s="38" t="str">
        <x:f>"26585020871"</x:f>
        <x:v>26585020871</x:v>
      </x:c>
      <x:c r="E65" s="38" t="str">
        <x:f>"11977719405"</x:f>
        <x:v>11977719405</x:v>
      </x:c>
      <x:c r="F65" s="38" t="str">
        <x:v>priscilla.mariafernanda@hotmail.com</x:v>
      </x:c>
      <x:c r="G65" s="39" t="n">
        <x:v>46152</x:v>
      </x:c>
      <x:c r="H65" s="16" t="str">
        <x:v>05/2026</x:v>
      </x:c>
      <x:c r="I65" s="40" t="n">
        <x:v>431.8</x:v>
      </x:c>
      <x:c r="J65" s="40" t="n">
        <x:v>453.25</x:v>
      </x:c>
      <x:c r="K65" s="16" t="str">
        <x:v>Novo</x:v>
      </x:c>
      <x:c r="L65" s="16" t="str">
        <x:v>Em aberto</x:v>
      </x:c>
      <x:c r="M65" s="16" t="str">
        <x:v>15d8061f-757a-46f2-96bb-17df103f0b91</x:v>
      </x:c>
      <x:c r="N65" s="41" t="str"/>
    </x:row>
    <x:row r="66">
      <x:c r="A66" s="37" t="str">
        <x:f>"12"</x:f>
        <x:v>12</x:v>
      </x:c>
      <x:c r="B66" s="38" t="str">
        <x:f>"5"</x:f>
        <x:v>5</x:v>
      </x:c>
      <x:c r="C66" s="38" t="str">
        <x:v>ANDERSON SOUZA ROSARIO</x:v>
      </x:c>
      <x:c r="D66" s="38" t="str">
        <x:f>"01907589538"</x:f>
        <x:v>01907589538</x:v>
      </x:c>
      <x:c r="E66" s="38" t="str">
        <x:f>"11989123116"</x:f>
        <x:v>11989123116</x:v>
      </x:c>
      <x:c r="F66" s="38" t="str">
        <x:v>andriorosario@gmail.com</x:v>
      </x:c>
      <x:c r="G66" s="39" t="n">
        <x:v>46063</x:v>
      </x:c>
      <x:c r="H66" s="16" t="str">
        <x:v>02/2026</x:v>
      </x:c>
      <x:c r="I66" s="40" t="n">
        <x:v>426.2</x:v>
      </x:c>
      <x:c r="J66" s="40" t="n">
        <x:v>467.36</x:v>
      </x:c>
      <x:c r="K66" s="16" t="str">
        <x:v>Novo</x:v>
      </x:c>
      <x:c r="L66" s="16" t="str">
        <x:v>Em aberto</x:v>
      </x:c>
      <x:c r="M66" s="16" t="str">
        <x:v>94f987a9-0e99-40b3-8c30-c1a7002cffe7</x:v>
      </x:c>
      <x:c r="N66" s="41" t="str"/>
    </x:row>
    <x:row r="67">
      <x:c r="A67" s="37" t="str">
        <x:f>"12"</x:f>
        <x:v>12</x:v>
      </x:c>
      <x:c r="B67" s="38" t="str">
        <x:f>"5"</x:f>
        <x:v>5</x:v>
      </x:c>
      <x:c r="C67" s="38" t="str">
        <x:v>ANDERSON SOUZA ROSARIO</x:v>
      </x:c>
      <x:c r="D67" s="38" t="str">
        <x:f>"01907589538"</x:f>
        <x:v>01907589538</x:v>
      </x:c>
      <x:c r="E67" s="38" t="str">
        <x:f>"11989123116"</x:f>
        <x:v>11989123116</x:v>
      </x:c>
      <x:c r="F67" s="38" t="str">
        <x:v>andriorosario@gmail.com</x:v>
      </x:c>
      <x:c r="G67" s="39" t="n">
        <x:v>46091</x:v>
      </x:c>
      <x:c r="H67" s="16" t="str">
        <x:v>03/2026</x:v>
      </x:c>
      <x:c r="I67" s="40" t="n">
        <x:v>431.37</x:v>
      </x:c>
      <x:c r="J67" s="40" t="n">
        <x:v>467.6</x:v>
      </x:c>
      <x:c r="K67" s="16" t="str">
        <x:v>Novo</x:v>
      </x:c>
      <x:c r="L67" s="16" t="str">
        <x:v>Em aberto</x:v>
      </x:c>
      <x:c r="M67" s="16" t="str">
        <x:v>e6ef4262-67bd-4366-a11b-c8fe8bcb00e9</x:v>
      </x:c>
      <x:c r="N67" s="41" t="str"/>
    </x:row>
    <x:row r="68">
      <x:c r="A68" s="37" t="str">
        <x:f>"12"</x:f>
        <x:v>12</x:v>
      </x:c>
      <x:c r="B68" s="38" t="str">
        <x:f>"5"</x:f>
        <x:v>5</x:v>
      </x:c>
      <x:c r="C68" s="38" t="str">
        <x:v>ANDERSON SOUZA ROSARIO</x:v>
      </x:c>
      <x:c r="D68" s="38" t="str">
        <x:f>"01907589538"</x:f>
        <x:v>01907589538</x:v>
      </x:c>
      <x:c r="E68" s="38" t="str">
        <x:f>"11989123116"</x:f>
        <x:v>11989123116</x:v>
      </x:c>
      <x:c r="F68" s="38" t="str">
        <x:v>andriorosario@gmail.com</x:v>
      </x:c>
      <x:c r="G68" s="39" t="n">
        <x:v>46125</x:v>
      </x:c>
      <x:c r="H68" s="16" t="str">
        <x:v>04/2026</x:v>
      </x:c>
      <x:c r="I68" s="40" t="n">
        <x:v>432.83</x:v>
      </x:c>
      <x:c r="J68" s="40" t="n">
        <x:v>460.8</x:v>
      </x:c>
      <x:c r="K68" s="16" t="str">
        <x:v>Novo</x:v>
      </x:c>
      <x:c r="L68" s="16" t="str">
        <x:v>Em aberto</x:v>
      </x:c>
      <x:c r="M68" s="16" t="str">
        <x:v>47fcaaf2-84c2-4753-802a-34f09eedf196</x:v>
      </x:c>
      <x:c r="N68" s="41" t="str"/>
    </x:row>
    <x:row r="69">
      <x:c r="A69" s="37" t="str">
        <x:f>"12"</x:f>
        <x:v>12</x:v>
      </x:c>
      <x:c r="B69" s="38" t="str">
        <x:f>"5"</x:f>
        <x:v>5</x:v>
      </x:c>
      <x:c r="C69" s="38" t="str">
        <x:v>ANDERSON SOUZA ROSARIO</x:v>
      </x:c>
      <x:c r="D69" s="38" t="str">
        <x:f>"01907589538"</x:f>
        <x:v>01907589538</x:v>
      </x:c>
      <x:c r="E69" s="38" t="str">
        <x:f>"11989123116"</x:f>
        <x:v>11989123116</x:v>
      </x:c>
      <x:c r="F69" s="38" t="str">
        <x:v>andriorosario@gmail.com</x:v>
      </x:c>
      <x:c r="G69" s="39" t="n">
        <x:v>46152</x:v>
      </x:c>
      <x:c r="H69" s="16" t="str">
        <x:v>05/2026</x:v>
      </x:c>
      <x:c r="I69" s="40" t="n">
        <x:v>417.87</x:v>
      </x:c>
      <x:c r="J69" s="40" t="n">
        <x:v>438.62</x:v>
      </x:c>
      <x:c r="K69" s="16" t="str">
        <x:v>Novo</x:v>
      </x:c>
      <x:c r="L69" s="16" t="str">
        <x:v>Em aberto</x:v>
      </x:c>
      <x:c r="M69" s="16" t="str">
        <x:v>bfdf062b-f4b7-4043-9293-3621c1b4798d</x:v>
      </x:c>
      <x:c r="N69" s="41" t="str"/>
    </x:row>
    <x:row r="70">
      <x:c r="A70" s="37" t="str">
        <x:f>"12"</x:f>
        <x:v>12</x:v>
      </x:c>
      <x:c r="B70" s="38" t="str">
        <x:f>"5"</x:f>
        <x:v>5</x:v>
      </x:c>
      <x:c r="C70" s="38" t="str">
        <x:v>ANDERSON SOUZA ROSARIO</x:v>
      </x:c>
      <x:c r="D70" s="38" t="str">
        <x:f>"01907589538"</x:f>
        <x:v>01907589538</x:v>
      </x:c>
      <x:c r="E70" s="38" t="str">
        <x:f>"11989123116"</x:f>
        <x:v>11989123116</x:v>
      </x:c>
      <x:c r="F70" s="38" t="str">
        <x:v>andriorosario@gmail.com</x:v>
      </x:c>
      <x:c r="G70" s="39" t="n">
        <x:v>46183</x:v>
      </x:c>
      <x:c r="H70" s="16" t="str">
        <x:v>06/2026</x:v>
      </x:c>
      <x:c r="I70" s="40" t="n">
        <x:v>439.74</x:v>
      </x:c>
      <x:c r="J70" s="40" t="n">
        <x:v>453.02</x:v>
      </x:c>
      <x:c r="K70" s="16" t="str">
        <x:v>Novo</x:v>
      </x:c>
      <x:c r="L70" s="16" t="str">
        <x:v>Em aberto</x:v>
      </x:c>
      <x:c r="M70" s="16" t="str">
        <x:v>33cbc8cd-712c-484b-913a-8920f8a82de8</x:v>
      </x:c>
      <x:c r="N70" s="41" t="str"/>
    </x:row>
    <x:row r="71">
      <x:c r="A71" s="37" t="str">
        <x:f>"13"</x:f>
        <x:v>13</x:v>
      </x:c>
      <x:c r="B71" s="38" t="str">
        <x:f>"3"</x:f>
        <x:v>3</x:v>
      </x:c>
      <x:c r="C71" s="38" t="str">
        <x:v>EDILSON PEDRO</x:v>
      </x:c>
      <x:c r="D71" s="38" t="str">
        <x:f>"27167217859"</x:f>
        <x:v>27167217859</x:v>
      </x:c>
      <x:c r="E71" s="38" t="str">
        <x:f>"11945034535"</x:f>
        <x:v>11945034535</x:v>
      </x:c>
      <x:c r="F71" s="38" t="str">
        <x:v>edilsonpedro535@gmail.com</x:v>
      </x:c>
      <x:c r="G71" s="39" t="n">
        <x:v>46063</x:v>
      </x:c>
      <x:c r="H71" s="16" t="str">
        <x:v>02/2026</x:v>
      </x:c>
      <x:c r="I71" s="40" t="n">
        <x:v>426.2</x:v>
      </x:c>
      <x:c r="J71" s="40" t="n">
        <x:v>467.36</x:v>
      </x:c>
      <x:c r="K71" s="16" t="str">
        <x:v>Novo</x:v>
      </x:c>
      <x:c r="L71" s="16" t="str">
        <x:v>Em aberto</x:v>
      </x:c>
      <x:c r="M71" s="16" t="str">
        <x:v>377d0559-9b60-4b03-8ac9-edca5973b4a9</x:v>
      </x:c>
      <x:c r="N71" s="41" t="str"/>
    </x:row>
    <x:row r="72">
      <x:c r="A72" s="37" t="str">
        <x:f>"13"</x:f>
        <x:v>13</x:v>
      </x:c>
      <x:c r="B72" s="38" t="str">
        <x:f>"3"</x:f>
        <x:v>3</x:v>
      </x:c>
      <x:c r="C72" s="38" t="str">
        <x:v>EDILSON PEDRO</x:v>
      </x:c>
      <x:c r="D72" s="38" t="str">
        <x:f>"27167217859"</x:f>
        <x:v>27167217859</x:v>
      </x:c>
      <x:c r="E72" s="38" t="str">
        <x:f>"11945034535"</x:f>
        <x:v>11945034535</x:v>
      </x:c>
      <x:c r="F72" s="38" t="str">
        <x:v>edilsonpedro535@gmail.com</x:v>
      </x:c>
      <x:c r="G72" s="39" t="n">
        <x:v>46091</x:v>
      </x:c>
      <x:c r="H72" s="16" t="str">
        <x:v>03/2026</x:v>
      </x:c>
      <x:c r="I72" s="40" t="n">
        <x:v>431.37</x:v>
      </x:c>
      <x:c r="J72" s="40" t="n">
        <x:v>467.6</x:v>
      </x:c>
      <x:c r="K72" s="16" t="str">
        <x:v>Novo</x:v>
      </x:c>
      <x:c r="L72" s="16" t="str">
        <x:v>Em aberto</x:v>
      </x:c>
      <x:c r="M72" s="16" t="str">
        <x:v>4271ee55-6259-4b38-97cb-4a4490986906</x:v>
      </x:c>
      <x:c r="N72" s="41" t="str"/>
    </x:row>
    <x:row r="73">
      <x:c r="A73" s="37" t="str">
        <x:f>"13"</x:f>
        <x:v>13</x:v>
      </x:c>
      <x:c r="B73" s="38" t="str">
        <x:f>"3"</x:f>
        <x:v>3</x:v>
      </x:c>
      <x:c r="C73" s="38" t="str">
        <x:v>EDILSON PEDRO</x:v>
      </x:c>
      <x:c r="D73" s="38" t="str">
        <x:f>"27167217859"</x:f>
        <x:v>27167217859</x:v>
      </x:c>
      <x:c r="E73" s="38" t="str">
        <x:f>"11945034535"</x:f>
        <x:v>11945034535</x:v>
      </x:c>
      <x:c r="F73" s="38" t="str">
        <x:v>edilsonpedro535@gmail.com</x:v>
      </x:c>
      <x:c r="G73" s="39" t="n">
        <x:v>46125</x:v>
      </x:c>
      <x:c r="H73" s="16" t="str">
        <x:v>04/2026</x:v>
      </x:c>
      <x:c r="I73" s="40" t="n">
        <x:v>432.83</x:v>
      </x:c>
      <x:c r="J73" s="40" t="n">
        <x:v>460.8</x:v>
      </x:c>
      <x:c r="K73" s="16" t="str">
        <x:v>Novo</x:v>
      </x:c>
      <x:c r="L73" s="16" t="str">
        <x:v>Em aberto</x:v>
      </x:c>
      <x:c r="M73" s="16" t="str">
        <x:v>82f3fc5d-dcdc-485d-98e1-7ff638dae35b</x:v>
      </x:c>
      <x:c r="N73" s="41" t="str"/>
    </x:row>
    <x:row r="74">
      <x:c r="A74" s="37" t="str">
        <x:f>"13"</x:f>
        <x:v>13</x:v>
      </x:c>
      <x:c r="B74" s="38" t="str">
        <x:f>"3"</x:f>
        <x:v>3</x:v>
      </x:c>
      <x:c r="C74" s="38" t="str">
        <x:v>EDILSON PEDRO</x:v>
      </x:c>
      <x:c r="D74" s="38" t="str">
        <x:f>"27167217859"</x:f>
        <x:v>27167217859</x:v>
      </x:c>
      <x:c r="E74" s="38" t="str">
        <x:f>"11945034535"</x:f>
        <x:v>11945034535</x:v>
      </x:c>
      <x:c r="F74" s="38" t="str">
        <x:v>edilsonpedro535@gmail.com</x:v>
      </x:c>
      <x:c r="G74" s="39" t="n">
        <x:v>46152</x:v>
      </x:c>
      <x:c r="H74" s="16" t="str">
        <x:v>05/2026</x:v>
      </x:c>
      <x:c r="I74" s="40" t="n">
        <x:v>417.87</x:v>
      </x:c>
      <x:c r="J74" s="40" t="n">
        <x:v>438.62</x:v>
      </x:c>
      <x:c r="K74" s="16" t="str">
        <x:v>Novo</x:v>
      </x:c>
      <x:c r="L74" s="16" t="str">
        <x:v>Em aberto</x:v>
      </x:c>
      <x:c r="M74" s="16" t="str">
        <x:v>415c4430-a798-4086-9174-609c267589be</x:v>
      </x:c>
      <x:c r="N74" s="41" t="str"/>
    </x:row>
    <x:row r="75">
      <x:c r="A75" s="37" t="str">
        <x:f>"13"</x:f>
        <x:v>13</x:v>
      </x:c>
      <x:c r="B75" s="38" t="str">
        <x:f>"3"</x:f>
        <x:v>3</x:v>
      </x:c>
      <x:c r="C75" s="38" t="str">
        <x:v>EDILSON PEDRO</x:v>
      </x:c>
      <x:c r="D75" s="38" t="str">
        <x:f>"27167217859"</x:f>
        <x:v>27167217859</x:v>
      </x:c>
      <x:c r="E75" s="38" t="str">
        <x:f>"11945034535"</x:f>
        <x:v>11945034535</x:v>
      </x:c>
      <x:c r="F75" s="38" t="str">
        <x:v>edilsonpedro535@gmail.com</x:v>
      </x:c>
      <x:c r="G75" s="39" t="n">
        <x:v>46183</x:v>
      </x:c>
      <x:c r="H75" s="16" t="str">
        <x:v>06/2026</x:v>
      </x:c>
      <x:c r="I75" s="40" t="n">
        <x:v>439.74</x:v>
      </x:c>
      <x:c r="J75" s="40" t="n">
        <x:v>453.02</x:v>
      </x:c>
      <x:c r="K75" s="16" t="str">
        <x:v>Novo</x:v>
      </x:c>
      <x:c r="L75" s="16" t="str">
        <x:v>Em aberto</x:v>
      </x:c>
      <x:c r="M75" s="16" t="str">
        <x:v>b289f4bf-b5bd-42d2-99c3-f5749660aca9</x:v>
      </x:c>
      <x:c r="N75" s="41" t="str"/>
    </x:row>
    <x:row r="76">
      <x:c r="A76" s="37" t="str">
        <x:f>"14"</x:f>
        <x:v>14</x:v>
      </x:c>
      <x:c r="B76" s="38" t="str">
        <x:f>"5"</x:f>
        <x:v>5</x:v>
      </x:c>
      <x:c r="C76" s="38" t="str">
        <x:v>BEATRIZ BARBOSA DE OLIVEIRA</x:v>
      </x:c>
      <x:c r="D76" s="38" t="str">
        <x:f>"45660293875"</x:f>
        <x:v>45660293875</x:v>
      </x:c>
      <x:c r="E76" s="38" t="str">
        <x:f>"11991815934"</x:f>
        <x:v>11991815934</x:v>
      </x:c>
      <x:c r="F76" s="38" t="str">
        <x:v>beatrizb.oliveira2018@gmail.com</x:v>
      </x:c>
      <x:c r="G76" s="39" t="n">
        <x:v>46063</x:v>
      </x:c>
      <x:c r="H76" s="16" t="str">
        <x:v>02/2026</x:v>
      </x:c>
      <x:c r="I76" s="40" t="n">
        <x:v>440.4</x:v>
      </x:c>
      <x:c r="J76" s="40" t="n">
        <x:v>482.94</x:v>
      </x:c>
      <x:c r="K76" s="16" t="str">
        <x:v>Novo</x:v>
      </x:c>
      <x:c r="L76" s="16" t="str">
        <x:v>Em aberto</x:v>
      </x:c>
      <x:c r="M76" s="16" t="str">
        <x:v>fcad8128-6286-4777-bc4d-1a3f7866c21f</x:v>
      </x:c>
      <x:c r="N76" s="41" t="str"/>
    </x:row>
    <x:row r="77">
      <x:c r="A77" s="37" t="str">
        <x:f>"14"</x:f>
        <x:v>14</x:v>
      </x:c>
      <x:c r="B77" s="38" t="str">
        <x:f>"5"</x:f>
        <x:v>5</x:v>
      </x:c>
      <x:c r="C77" s="38" t="str">
        <x:v>BEATRIZ BARBOSA DE OLIVEIRA</x:v>
      </x:c>
      <x:c r="D77" s="38" t="str">
        <x:f>"45660293875"</x:f>
        <x:v>45660293875</x:v>
      </x:c>
      <x:c r="E77" s="38" t="str">
        <x:f>"11991815934"</x:f>
        <x:v>11991815934</x:v>
      </x:c>
      <x:c r="F77" s="38" t="str">
        <x:v>beatrizb.oliveira2018@gmail.com</x:v>
      </x:c>
      <x:c r="G77" s="39" t="n">
        <x:v>46091</x:v>
      </x:c>
      <x:c r="H77" s="16" t="str">
        <x:v>03/2026</x:v>
      </x:c>
      <x:c r="I77" s="40" t="n">
        <x:v>445.74</x:v>
      </x:c>
      <x:c r="J77" s="40" t="n">
        <x:v>483.16</x:v>
      </x:c>
      <x:c r="K77" s="16" t="str">
        <x:v>Novo</x:v>
      </x:c>
      <x:c r="L77" s="16" t="str">
        <x:v>Em aberto</x:v>
      </x:c>
      <x:c r="M77" s="16" t="str">
        <x:v>55500223-451a-4ad8-88ee-b0ad72c81b2e</x:v>
      </x:c>
      <x:c r="N77" s="41" t="str"/>
    </x:row>
    <x:row r="78">
      <x:c r="A78" s="37" t="str">
        <x:f>"14"</x:f>
        <x:v>14</x:v>
      </x:c>
      <x:c r="B78" s="38" t="str">
        <x:f>"5"</x:f>
        <x:v>5</x:v>
      </x:c>
      <x:c r="C78" s="38" t="str">
        <x:v>BEATRIZ BARBOSA DE OLIVEIRA</x:v>
      </x:c>
      <x:c r="D78" s="38" t="str">
        <x:f>"45660293875"</x:f>
        <x:v>45660293875</x:v>
      </x:c>
      <x:c r="E78" s="38" t="str">
        <x:f>"11991815934"</x:f>
        <x:v>11991815934</x:v>
      </x:c>
      <x:c r="F78" s="38" t="str">
        <x:v>beatrizb.oliveira2018@gmail.com</x:v>
      </x:c>
      <x:c r="G78" s="39" t="n">
        <x:v>46125</x:v>
      </x:c>
      <x:c r="H78" s="16" t="str">
        <x:v>04/2026</x:v>
      </x:c>
      <x:c r="I78" s="40" t="n">
        <x:v>527.25</x:v>
      </x:c>
      <x:c r="J78" s="40" t="n">
        <x:v>561.31</x:v>
      </x:c>
      <x:c r="K78" s="16" t="str">
        <x:v>Novo</x:v>
      </x:c>
      <x:c r="L78" s="16" t="str">
        <x:v>Em aberto</x:v>
      </x:c>
      <x:c r="M78" s="16" t="str">
        <x:v>5fe36fe6-3097-4c06-84c0-a5181ee1c010</x:v>
      </x:c>
      <x:c r="N78" s="41" t="str"/>
    </x:row>
    <x:row r="79">
      <x:c r="A79" s="37" t="str">
        <x:f>"14"</x:f>
        <x:v>14</x:v>
      </x:c>
      <x:c r="B79" s="38" t="str">
        <x:f>"5"</x:f>
        <x:v>5</x:v>
      </x:c>
      <x:c r="C79" s="38" t="str">
        <x:v>BEATRIZ BARBOSA DE OLIVEIRA</x:v>
      </x:c>
      <x:c r="D79" s="38" t="str">
        <x:f>"45660293875"</x:f>
        <x:v>45660293875</x:v>
      </x:c>
      <x:c r="E79" s="38" t="str">
        <x:f>"11991815934"</x:f>
        <x:v>11991815934</x:v>
      </x:c>
      <x:c r="F79" s="38" t="str">
        <x:v>beatrizb.oliveira2018@gmail.com</x:v>
      </x:c>
      <x:c r="G79" s="39" t="n">
        <x:v>46152</x:v>
      </x:c>
      <x:c r="H79" s="16" t="str">
        <x:v>05/2026</x:v>
      </x:c>
      <x:c r="I79" s="40" t="n">
        <x:v>431.8</x:v>
      </x:c>
      <x:c r="J79" s="40" t="n">
        <x:v>453.25</x:v>
      </x:c>
      <x:c r="K79" s="16" t="str">
        <x:v>Novo</x:v>
      </x:c>
      <x:c r="L79" s="16" t="str">
        <x:v>Em aberto</x:v>
      </x:c>
      <x:c r="M79" s="16" t="str">
        <x:v>28d1c9f7-b533-4e75-bd20-cf75888b6b3d</x:v>
      </x:c>
      <x:c r="N79" s="41" t="str"/>
    </x:row>
    <x:row r="80">
      <x:c r="A80" s="37" t="str">
        <x:f>"14"</x:f>
        <x:v>14</x:v>
      </x:c>
      <x:c r="B80" s="38" t="str">
        <x:f>"5"</x:f>
        <x:v>5</x:v>
      </x:c>
      <x:c r="C80" s="38" t="str">
        <x:v>BEATRIZ BARBOSA DE OLIVEIRA</x:v>
      </x:c>
      <x:c r="D80" s="38" t="str">
        <x:f>"45660293875"</x:f>
        <x:v>45660293875</x:v>
      </x:c>
      <x:c r="E80" s="38" t="str">
        <x:f>"11991815934"</x:f>
        <x:v>11991815934</x:v>
      </x:c>
      <x:c r="F80" s="38" t="str">
        <x:v>beatrizb.oliveira2018@gmail.com</x:v>
      </x:c>
      <x:c r="G80" s="39" t="n">
        <x:v>46183</x:v>
      </x:c>
      <x:c r="H80" s="16" t="str">
        <x:v>06/2026</x:v>
      </x:c>
      <x:c r="I80" s="40" t="n">
        <x:v>454.4</x:v>
      </x:c>
      <x:c r="J80" s="40" t="n">
        <x:v>468.12</x:v>
      </x:c>
      <x:c r="K80" s="16" t="str">
        <x:v>Novo</x:v>
      </x:c>
      <x:c r="L80" s="16" t="str">
        <x:v>Em aberto</x:v>
      </x:c>
      <x:c r="M80" s="16" t="str">
        <x:v>b4f075e9-c9af-444b-95e5-1d29a7d31028</x:v>
      </x:c>
      <x:c r="N80" s="41" t="str"/>
    </x:row>
    <x:row r="81">
      <x:c r="A81" s="37" t="str">
        <x:f>"15"</x:f>
        <x:v>15</x:v>
      </x:c>
      <x:c r="B81" s="38" t="str">
        <x:f>"5"</x:f>
        <x:v>5</x:v>
      </x:c>
      <x:c r="C81" s="38" t="str">
        <x:v>JAQUELINE BATISTA MARTINS</x:v>
      </x:c>
      <x:c r="D81" s="38" t="str">
        <x:f>"37886438892"</x:f>
        <x:v>37886438892</x:v>
      </x:c>
      <x:c r="E81" s="38" t="str">
        <x:f>"11982776248"</x:f>
        <x:v>11982776248</x:v>
      </x:c>
      <x:c r="F81" s="38" t="str">
        <x:v>jaqueline.martins1@hotmail.com</x:v>
      </x:c>
      <x:c r="G81" s="39" t="n">
        <x:v>46063</x:v>
      </x:c>
      <x:c r="H81" s="16" t="str">
        <x:v>02/2026</x:v>
      </x:c>
      <x:c r="I81" s="40" t="n">
        <x:v>440.4</x:v>
      </x:c>
      <x:c r="J81" s="40" t="n">
        <x:v>482.94</x:v>
      </x:c>
      <x:c r="K81" s="16" t="str">
        <x:v>Novo</x:v>
      </x:c>
      <x:c r="L81" s="16" t="str">
        <x:v>Em aberto</x:v>
      </x:c>
      <x:c r="M81" s="16" t="str">
        <x:v>16d8ee1e-1074-4bfa-b0be-b6aa94aa4d39</x:v>
      </x:c>
      <x:c r="N81" s="41" t="str"/>
    </x:row>
    <x:row r="82">
      <x:c r="A82" s="37" t="str">
        <x:f>"15"</x:f>
        <x:v>15</x:v>
      </x:c>
      <x:c r="B82" s="38" t="str">
        <x:f>"3"</x:f>
        <x:v>3</x:v>
      </x:c>
      <x:c r="C82" s="38" t="str">
        <x:v>GREGORY CONCEIÇÃO MEDEIROS</x:v>
      </x:c>
      <x:c r="D82" s="38" t="str">
        <x:f>"45931875832"</x:f>
        <x:v>45931875832</x:v>
      </x:c>
      <x:c r="E82" s="38" t="str">
        <x:f>"11971449272"</x:f>
        <x:v>11971449272</x:v>
      </x:c>
      <x:c r="F82" s="38" t="str">
        <x:v>gregorymedeiros1004@gmail.com</x:v>
      </x:c>
      <x:c r="G82" s="39" t="n">
        <x:v>46091</x:v>
      </x:c>
      <x:c r="H82" s="16" t="str">
        <x:v>03/2026</x:v>
      </x:c>
      <x:c r="I82" s="40" t="n">
        <x:v>445.74</x:v>
      </x:c>
      <x:c r="J82" s="40" t="n">
        <x:v>483.16</x:v>
      </x:c>
      <x:c r="K82" s="16" t="str">
        <x:v>Novo</x:v>
      </x:c>
      <x:c r="L82" s="16" t="str">
        <x:v>Em aberto</x:v>
      </x:c>
      <x:c r="M82" s="16" t="str">
        <x:v>2a740580-1565-48db-b7f4-378ef3a2122e</x:v>
      </x:c>
      <x:c r="N82" s="41" t="str"/>
    </x:row>
    <x:row r="83">
      <x:c r="A83" s="37" t="str">
        <x:f>"15"</x:f>
        <x:v>15</x:v>
      </x:c>
      <x:c r="B83" s="38" t="str">
        <x:f>"5"</x:f>
        <x:v>5</x:v>
      </x:c>
      <x:c r="C83" s="38" t="str">
        <x:v>JAQUELINE BATISTA MARTINS</x:v>
      </x:c>
      <x:c r="D83" s="38" t="str">
        <x:f>"37886438892"</x:f>
        <x:v>37886438892</x:v>
      </x:c>
      <x:c r="E83" s="38" t="str">
        <x:f>"11982776248"</x:f>
        <x:v>11982776248</x:v>
      </x:c>
      <x:c r="F83" s="38" t="str">
        <x:v>jaqueline.martins1@hotmail.com</x:v>
      </x:c>
      <x:c r="G83" s="39" t="n">
        <x:v>46091</x:v>
      </x:c>
      <x:c r="H83" s="16" t="str">
        <x:v>03/2026</x:v>
      </x:c>
      <x:c r="I83" s="40" t="n">
        <x:v>445.74</x:v>
      </x:c>
      <x:c r="J83" s="40" t="n">
        <x:v>483.16</x:v>
      </x:c>
      <x:c r="K83" s="16" t="str">
        <x:v>Novo</x:v>
      </x:c>
      <x:c r="L83" s="16" t="str">
        <x:v>Em aberto</x:v>
      </x:c>
      <x:c r="M83" s="16" t="str">
        <x:v>ba1b0a97-6cf7-4b1f-8e10-9e3852cce36a</x:v>
      </x:c>
      <x:c r="N83" s="41" t="str"/>
    </x:row>
    <x:row r="84">
      <x:c r="A84" s="37" t="str">
        <x:f>"15"</x:f>
        <x:v>15</x:v>
      </x:c>
      <x:c r="B84" s="38" t="str">
        <x:f>"5"</x:f>
        <x:v>5</x:v>
      </x:c>
      <x:c r="C84" s="38" t="str">
        <x:v>JAQUELINE BATISTA MARTINS</x:v>
      </x:c>
      <x:c r="D84" s="38" t="str">
        <x:f>"37886438892"</x:f>
        <x:v>37886438892</x:v>
      </x:c>
      <x:c r="E84" s="38" t="str">
        <x:f>"11982776248"</x:f>
        <x:v>11982776248</x:v>
      </x:c>
      <x:c r="F84" s="38" t="str">
        <x:v>jaqueline.martins1@hotmail.com</x:v>
      </x:c>
      <x:c r="G84" s="39" t="n">
        <x:v>46125</x:v>
      </x:c>
      <x:c r="H84" s="16" t="str">
        <x:v>04/2026</x:v>
      </x:c>
      <x:c r="I84" s="40" t="n">
        <x:v>447.25</x:v>
      </x:c>
      <x:c r="J84" s="40" t="n">
        <x:v>476.15</x:v>
      </x:c>
      <x:c r="K84" s="16" t="str">
        <x:v>Novo</x:v>
      </x:c>
      <x:c r="L84" s="16" t="str">
        <x:v>Em aberto</x:v>
      </x:c>
      <x:c r="M84" s="16" t="str">
        <x:v>a927a715-924f-4d17-86f2-6f836907374c</x:v>
      </x:c>
      <x:c r="N84" s="41" t="str"/>
    </x:row>
    <x:row r="85">
      <x:c r="A85" s="37" t="str">
        <x:f>"15"</x:f>
        <x:v>15</x:v>
      </x:c>
      <x:c r="B85" s="38" t="str">
        <x:f>"5"</x:f>
        <x:v>5</x:v>
      </x:c>
      <x:c r="C85" s="38" t="str">
        <x:v>JAQUELINE BATISTA MARTINS</x:v>
      </x:c>
      <x:c r="D85" s="38" t="str">
        <x:f>"37886438892"</x:f>
        <x:v>37886438892</x:v>
      </x:c>
      <x:c r="E85" s="38" t="str">
        <x:f>"11982776248"</x:f>
        <x:v>11982776248</x:v>
      </x:c>
      <x:c r="F85" s="38" t="str">
        <x:v>jaqueline.martins1@hotmail.com</x:v>
      </x:c>
      <x:c r="G85" s="39" t="n">
        <x:v>46152</x:v>
      </x:c>
      <x:c r="H85" s="16" t="str">
        <x:v>05/2026</x:v>
      </x:c>
      <x:c r="I85" s="40" t="n">
        <x:v>431.8</x:v>
      </x:c>
      <x:c r="J85" s="40" t="n">
        <x:v>453.25</x:v>
      </x:c>
      <x:c r="K85" s="16" t="str">
        <x:v>Novo</x:v>
      </x:c>
      <x:c r="L85" s="16" t="str">
        <x:v>Em aberto</x:v>
      </x:c>
      <x:c r="M85" s="16" t="str">
        <x:v>26e7b2b4-d729-47e9-bb26-76946c338815</x:v>
      </x:c>
      <x:c r="N85" s="41" t="str"/>
    </x:row>
    <x:row r="86">
      <x:c r="A86" s="37" t="str">
        <x:f>"15"</x:f>
        <x:v>15</x:v>
      </x:c>
      <x:c r="B86" s="38" t="str">
        <x:f>"3"</x:f>
        <x:v>3</x:v>
      </x:c>
      <x:c r="C86" s="38" t="str">
        <x:v>GREGORY CONCEIÇÃO MEDEIROS</x:v>
      </x:c>
      <x:c r="D86" s="38" t="str">
        <x:f>"45931875832"</x:f>
        <x:v>45931875832</x:v>
      </x:c>
      <x:c r="E86" s="38" t="str">
        <x:f>"11971449272"</x:f>
        <x:v>11971449272</x:v>
      </x:c>
      <x:c r="F86" s="38" t="str">
        <x:v>gregorymedeiros1004@gmail.com</x:v>
      </x:c>
      <x:c r="G86" s="39" t="n">
        <x:v>46183</x:v>
      </x:c>
      <x:c r="H86" s="16" t="str">
        <x:v>06/2026</x:v>
      </x:c>
      <x:c r="I86" s="40" t="n">
        <x:v>454.4</x:v>
      </x:c>
      <x:c r="J86" s="40" t="n">
        <x:v>468.12</x:v>
      </x:c>
      <x:c r="K86" s="16" t="str">
        <x:v>Novo</x:v>
      </x:c>
      <x:c r="L86" s="16" t="str">
        <x:v>Em aberto</x:v>
      </x:c>
      <x:c r="M86" s="16" t="str">
        <x:v>1e0de693-5d8d-409d-b551-a2db213f0776</x:v>
      </x:c>
      <x:c r="N86" s="41" t="str"/>
    </x:row>
    <x:row r="87">
      <x:c r="A87" s="37" t="str">
        <x:f>"15"</x:f>
        <x:v>15</x:v>
      </x:c>
      <x:c r="B87" s="38" t="str">
        <x:f>"5"</x:f>
        <x:v>5</x:v>
      </x:c>
      <x:c r="C87" s="38" t="str">
        <x:v>JAQUELINE BATISTA MARTINS</x:v>
      </x:c>
      <x:c r="D87" s="38" t="str">
        <x:f>"37886438892"</x:f>
        <x:v>37886438892</x:v>
      </x:c>
      <x:c r="E87" s="38" t="str">
        <x:f>"11982776248"</x:f>
        <x:v>11982776248</x:v>
      </x:c>
      <x:c r="F87" s="38" t="str">
        <x:v>jaqueline.martins1@hotmail.com</x:v>
      </x:c>
      <x:c r="G87" s="39" t="n">
        <x:v>46183</x:v>
      </x:c>
      <x:c r="H87" s="16" t="str">
        <x:v>06/2026</x:v>
      </x:c>
      <x:c r="I87" s="40" t="n">
        <x:v>454.4</x:v>
      </x:c>
      <x:c r="J87" s="40" t="n">
        <x:v>468.12</x:v>
      </x:c>
      <x:c r="K87" s="16" t="str">
        <x:v>Novo</x:v>
      </x:c>
      <x:c r="L87" s="16" t="str">
        <x:v>Em aberto</x:v>
      </x:c>
      <x:c r="M87" s="16" t="str">
        <x:v>bb0f938b-10ee-4fa7-aab3-5ce60b8ba143</x:v>
      </x:c>
      <x:c r="N87" s="41" t="str"/>
    </x:row>
    <x:row r="88">
      <x:c r="A88" s="37" t="str">
        <x:f>"15"</x:f>
        <x:v>15</x:v>
      </x:c>
      <x:c r="B88" s="38" t="str">
        <x:f>"6"</x:f>
        <x:v>6</x:v>
      </x:c>
      <x:c r="C88" s="38" t="str">
        <x:v>PRISCILA ALVES SANTOS</x:v>
      </x:c>
      <x:c r="D88" s="38" t="str">
        <x:f>"33666620850"</x:f>
        <x:v>33666620850</x:v>
      </x:c>
      <x:c r="E88" s="38" t="str">
        <x:f>""</x:f>
      </x:c>
      <x:c r="F88" s="38" t="str">
        <x:v>alvessantospriscila@gmail.com</x:v>
      </x:c>
      <x:c r="G88" s="39" t="n">
        <x:v>46183</x:v>
      </x:c>
      <x:c r="H88" s="16" t="str">
        <x:v>06/2026</x:v>
      </x:c>
      <x:c r="I88" s="40" t="n">
        <x:v>454.4</x:v>
      </x:c>
      <x:c r="J88" s="40" t="n">
        <x:v>468.12</x:v>
      </x:c>
      <x:c r="K88" s="16" t="str">
        <x:v>Novo</x:v>
      </x:c>
      <x:c r="L88" s="16" t="str">
        <x:v>Em aberto</x:v>
      </x:c>
      <x:c r="M88" s="16" t="str">
        <x:v>13101235-e7ae-4f9e-94bb-d2921ab12664</x:v>
      </x:c>
      <x:c r="N88" s="41" t="str"/>
    </x:row>
    <x:row r="89">
      <x:c r="A89" s="37" t="str">
        <x:f>"16"</x:f>
        <x:v>16</x:v>
      </x:c>
      <x:c r="B89" s="38" t="str">
        <x:f>"4"</x:f>
        <x:v>4</x:v>
      </x:c>
      <x:c r="C89" s="38" t="str">
        <x:v>MAISA LOPES DOS SANTOS</x:v>
      </x:c>
      <x:c r="D89" s="38" t="str">
        <x:f>"62718827572"</x:f>
        <x:v>62718827572</x:v>
      </x:c>
      <x:c r="E89" s="38" t="str">
        <x:f>"11962180075"</x:f>
        <x:v>11962180075</x:v>
      </x:c>
      <x:c r="F89" s="38" t="str">
        <x:v>maisalopesnutri@hotmail.com</x:v>
      </x:c>
      <x:c r="G89" s="39" t="n">
        <x:v>46091</x:v>
      </x:c>
      <x:c r="H89" s="16" t="str">
        <x:v>03/2026</x:v>
      </x:c>
      <x:c r="I89" s="40" t="n">
        <x:v>431.37</x:v>
      </x:c>
      <x:c r="J89" s="40" t="n">
        <x:v>467.6</x:v>
      </x:c>
      <x:c r="K89" s="16" t="str">
        <x:v>Novo</x:v>
      </x:c>
      <x:c r="L89" s="16" t="str">
        <x:v>Em aberto</x:v>
      </x:c>
      <x:c r="M89" s="16" t="str">
        <x:v>46586206-06ed-47ea-91b5-21dbc0cd3d08</x:v>
      </x:c>
      <x:c r="N89" s="41" t="str"/>
    </x:row>
    <x:row r="90">
      <x:c r="A90" s="37" t="str">
        <x:f>"16"</x:f>
        <x:v>16</x:v>
      </x:c>
      <x:c r="B90" s="38" t="str">
        <x:f>"4"</x:f>
        <x:v>4</x:v>
      </x:c>
      <x:c r="C90" s="38" t="str">
        <x:v>MAISA LOPES DOS SANTOS</x:v>
      </x:c>
      <x:c r="D90" s="38" t="str">
        <x:f>"62718827572"</x:f>
        <x:v>62718827572</x:v>
      </x:c>
      <x:c r="E90" s="38" t="str">
        <x:f>"11962180075"</x:f>
        <x:v>11962180075</x:v>
      </x:c>
      <x:c r="F90" s="38" t="str">
        <x:v>maisalopesnutri@hotmail.com</x:v>
      </x:c>
      <x:c r="G90" s="39" t="n">
        <x:v>46125</x:v>
      </x:c>
      <x:c r="H90" s="16" t="str">
        <x:v>04/2026</x:v>
      </x:c>
      <x:c r="I90" s="40" t="n">
        <x:v>432.83</x:v>
      </x:c>
      <x:c r="J90" s="40" t="n">
        <x:v>460.8</x:v>
      </x:c>
      <x:c r="K90" s="16" t="str">
        <x:v>Novo</x:v>
      </x:c>
      <x:c r="L90" s="16" t="str">
        <x:v>Em aberto</x:v>
      </x:c>
      <x:c r="M90" s="16" t="str">
        <x:v>b3371ccc-9c55-48eb-b764-61d0b0780422</x:v>
      </x:c>
      <x:c r="N90" s="41" t="str"/>
    </x:row>
    <x:row r="91">
      <x:c r="A91" s="37" t="str">
        <x:f>"16"</x:f>
        <x:v>16</x:v>
      </x:c>
      <x:c r="B91" s="38" t="str">
        <x:f>"4"</x:f>
        <x:v>4</x:v>
      </x:c>
      <x:c r="C91" s="38" t="str">
        <x:v>MAISA LOPES DOS SANTOS</x:v>
      </x:c>
      <x:c r="D91" s="38" t="str">
        <x:f>"62718827572"</x:f>
        <x:v>62718827572</x:v>
      </x:c>
      <x:c r="E91" s="38" t="str">
        <x:f>"11962180075"</x:f>
        <x:v>11962180075</x:v>
      </x:c>
      <x:c r="F91" s="38" t="str">
        <x:v>maisalopesnutri@hotmail.com</x:v>
      </x:c>
      <x:c r="G91" s="39" t="n">
        <x:v>46152</x:v>
      </x:c>
      <x:c r="H91" s="16" t="str">
        <x:v>05/2026</x:v>
      </x:c>
      <x:c r="I91" s="40" t="n">
        <x:v>417.87</x:v>
      </x:c>
      <x:c r="J91" s="40" t="n">
        <x:v>438.62</x:v>
      </x:c>
      <x:c r="K91" s="16" t="str">
        <x:v>Novo</x:v>
      </x:c>
      <x:c r="L91" s="16" t="str">
        <x:v>Em aberto</x:v>
      </x:c>
      <x:c r="M91" s="16" t="str">
        <x:v>6e51961d-c2c3-4178-9b85-19e809c7c6f5</x:v>
      </x:c>
      <x:c r="N91" s="41" t="str"/>
    </x:row>
    <x:row r="92">
      <x:c r="A92" s="37" t="str">
        <x:f>"17"</x:f>
        <x:v>17</x:v>
      </x:c>
      <x:c r="B92" s="38" t="str">
        <x:f>"6"</x:f>
        <x:v>6</x:v>
      </x:c>
      <x:c r="C92" s="38" t="str">
        <x:v>ROSELI CONCEIÇÃO DOS SANTOS</x:v>
      </x:c>
      <x:c r="D92" s="38" t="str">
        <x:f>"30155051814"</x:f>
        <x:v>30155051814</x:v>
      </x:c>
      <x:c r="E92" s="38" t="str">
        <x:f>"11958294273"</x:f>
        <x:v>11958294273</x:v>
      </x:c>
      <x:c r="F92" s="38" t="str">
        <x:v>rocsantos13@hotmail.com</x:v>
      </x:c>
      <x:c r="G92" s="39" t="n">
        <x:v>46063</x:v>
      </x:c>
      <x:c r="H92" s="16" t="str">
        <x:v>02/2026</x:v>
      </x:c>
      <x:c r="I92" s="40" t="n">
        <x:v>426.2</x:v>
      </x:c>
      <x:c r="J92" s="40" t="n">
        <x:v>467.36</x:v>
      </x:c>
      <x:c r="K92" s="16" t="str">
        <x:v>Novo</x:v>
      </x:c>
      <x:c r="L92" s="16" t="str">
        <x:v>Em aberto</x:v>
      </x:c>
      <x:c r="M92" s="16" t="str">
        <x:v>dab27fb6-0919-45f4-914a-66ac6b8e443c</x:v>
      </x:c>
      <x:c r="N92" s="41" t="str"/>
    </x:row>
    <x:row r="93">
      <x:c r="A93" s="37" t="str">
        <x:f>"17"</x:f>
        <x:v>17</x:v>
      </x:c>
      <x:c r="B93" s="38" t="str">
        <x:f>"6"</x:f>
        <x:v>6</x:v>
      </x:c>
      <x:c r="C93" s="38" t="str">
        <x:v>ROSELI CONCEIÇÃO DOS SANTOS</x:v>
      </x:c>
      <x:c r="D93" s="38" t="str">
        <x:f>"30155051814"</x:f>
        <x:v>30155051814</x:v>
      </x:c>
      <x:c r="E93" s="38" t="str">
        <x:f>"11958294273"</x:f>
        <x:v>11958294273</x:v>
      </x:c>
      <x:c r="F93" s="38" t="str">
        <x:v>rocsantos13@hotmail.com</x:v>
      </x:c>
      <x:c r="G93" s="39" t="n">
        <x:v>46091</x:v>
      </x:c>
      <x:c r="H93" s="16" t="str">
        <x:v>03/2026</x:v>
      </x:c>
      <x:c r="I93" s="40" t="n">
        <x:v>431.37</x:v>
      </x:c>
      <x:c r="J93" s="40" t="n">
        <x:v>467.6</x:v>
      </x:c>
      <x:c r="K93" s="16" t="str">
        <x:v>Novo</x:v>
      </x:c>
      <x:c r="L93" s="16" t="str">
        <x:v>Em aberto</x:v>
      </x:c>
      <x:c r="M93" s="16" t="str">
        <x:v>4dd5db4c-cc3c-44fb-94d0-161fa5d9278a</x:v>
      </x:c>
      <x:c r="N93" s="41" t="str"/>
    </x:row>
    <x:row r="94">
      <x:c r="A94" s="37" t="str">
        <x:f>"17"</x:f>
        <x:v>17</x:v>
      </x:c>
      <x:c r="B94" s="38" t="str">
        <x:f>"6"</x:f>
        <x:v>6</x:v>
      </x:c>
      <x:c r="C94" s="38" t="str">
        <x:v>ROSELI CONCEIÇÃO DOS SANTOS</x:v>
      </x:c>
      <x:c r="D94" s="38" t="str">
        <x:f>"30155051814"</x:f>
        <x:v>30155051814</x:v>
      </x:c>
      <x:c r="E94" s="38" t="str">
        <x:f>"11958294273"</x:f>
        <x:v>11958294273</x:v>
      </x:c>
      <x:c r="F94" s="38" t="str">
        <x:v>rocsantos13@hotmail.com</x:v>
      </x:c>
      <x:c r="G94" s="39" t="n">
        <x:v>46125</x:v>
      </x:c>
      <x:c r="H94" s="16" t="str">
        <x:v>04/2026</x:v>
      </x:c>
      <x:c r="I94" s="40" t="n">
        <x:v>432.83</x:v>
      </x:c>
      <x:c r="J94" s="40" t="n">
        <x:v>460.8</x:v>
      </x:c>
      <x:c r="K94" s="16" t="str">
        <x:v>Novo</x:v>
      </x:c>
      <x:c r="L94" s="16" t="str">
        <x:v>Em aberto</x:v>
      </x:c>
      <x:c r="M94" s="16" t="str">
        <x:v>a7f35f63-99f1-49c7-9430-e5435a6cd99c</x:v>
      </x:c>
      <x:c r="N94" s="41" t="str"/>
    </x:row>
    <x:row r="95">
      <x:c r="A95" s="37" t="str">
        <x:f>"17"</x:f>
        <x:v>17</x:v>
      </x:c>
      <x:c r="B95" s="38" t="str">
        <x:f>"6"</x:f>
        <x:v>6</x:v>
      </x:c>
      <x:c r="C95" s="38" t="str">
        <x:v>ROSELI CONCEIÇÃO DOS SANTOS</x:v>
      </x:c>
      <x:c r="D95" s="38" t="str">
        <x:f>"30155051814"</x:f>
        <x:v>30155051814</x:v>
      </x:c>
      <x:c r="E95" s="38" t="str">
        <x:f>"11958294273"</x:f>
        <x:v>11958294273</x:v>
      </x:c>
      <x:c r="F95" s="38" t="str">
        <x:v>rocsantos13@hotmail.com</x:v>
      </x:c>
      <x:c r="G95" s="39" t="n">
        <x:v>46183</x:v>
      </x:c>
      <x:c r="H95" s="16" t="str">
        <x:v>06/2026</x:v>
      </x:c>
      <x:c r="I95" s="40" t="n">
        <x:v>439.74</x:v>
      </x:c>
      <x:c r="J95" s="40" t="n">
        <x:v>453.02</x:v>
      </x:c>
      <x:c r="K95" s="16" t="str">
        <x:v>Novo</x:v>
      </x:c>
      <x:c r="L95" s="16" t="str">
        <x:v>Em aberto</x:v>
      </x:c>
      <x:c r="M95" s="16" t="str">
        <x:v>066813ab-4f12-4a63-85a0-e5fe28fa61a0</x:v>
      </x:c>
      <x:c r="N95" s="41" t="str"/>
    </x:row>
    <x:row r="96">
      <x:c r="A96" s="37" t="str">
        <x:f>"18"</x:f>
        <x:v>18</x:v>
      </x:c>
      <x:c r="B96" s="38" t="str">
        <x:f>"4"</x:f>
        <x:v>4</x:v>
      </x:c>
      <x:c r="C96" s="38" t="str">
        <x:v>LETICIA MAX DE FREITAS</x:v>
      </x:c>
      <x:c r="D96" s="38" t="str">
        <x:f>"44314398892"</x:f>
        <x:v>44314398892</x:v>
      </x:c>
      <x:c r="E96" s="38" t="str">
        <x:f>""</x:f>
      </x:c>
      <x:c r="F96" s="38" t="str">
        <x:v>leticiamax2806@gmail.com</x:v>
      </x:c>
      <x:c r="G96" s="39" t="n">
        <x:v>46063</x:v>
      </x:c>
      <x:c r="H96" s="16" t="str">
        <x:v>02/2026</x:v>
      </x:c>
      <x:c r="I96" s="40" t="n">
        <x:v>440.4</x:v>
      </x:c>
      <x:c r="J96" s="40" t="n">
        <x:v>482.94</x:v>
      </x:c>
      <x:c r="K96" s="16" t="str">
        <x:v>Novo</x:v>
      </x:c>
      <x:c r="L96" s="16" t="str">
        <x:v>Em aberto</x:v>
      </x:c>
      <x:c r="M96" s="16" t="str">
        <x:v>5daf13e4-03f8-4cdc-af10-c827f7410a16</x:v>
      </x:c>
      <x:c r="N96" s="41" t="str"/>
    </x:row>
    <x:row r="97">
      <x:c r="A97" s="37" t="str">
        <x:f>"18"</x:f>
        <x:v>18</x:v>
      </x:c>
      <x:c r="B97" s="38" t="str">
        <x:f>"1"</x:f>
        <x:v>1</x:v>
      </x:c>
      <x:c r="C97" s="38" t="str">
        <x:v>DANIELE FERREIRA DOS SANTOS</x:v>
      </x:c>
      <x:c r="D97" s="38" t="str">
        <x:f>"22977281827"</x:f>
        <x:v>22977281827</x:v>
      </x:c>
      <x:c r="E97" s="38" t="str">
        <x:f>"11956770582"</x:f>
        <x:v>11956770582</x:v>
      </x:c>
      <x:c r="F97" s="38" t="str">
        <x:v>danieleferreiradossantos05@gmail.com</x:v>
      </x:c>
      <x:c r="G97" s="39" t="n">
        <x:v>46063</x:v>
      </x:c>
      <x:c r="H97" s="16" t="str">
        <x:v>02/2026</x:v>
      </x:c>
      <x:c r="I97" s="40" t="n">
        <x:v>440.4</x:v>
      </x:c>
      <x:c r="J97" s="40" t="n">
        <x:v>482.94</x:v>
      </x:c>
      <x:c r="K97" s="16" t="str">
        <x:v>Novo</x:v>
      </x:c>
      <x:c r="L97" s="16" t="str">
        <x:v>Em aberto</x:v>
      </x:c>
      <x:c r="M97" s="16" t="str">
        <x:v>775ca79e-c8b5-4b95-a9ce-4df44b6908fd</x:v>
      </x:c>
      <x:c r="N97" s="41" t="str"/>
    </x:row>
    <x:row r="98">
      <x:c r="A98" s="37" t="str">
        <x:f>"18"</x:f>
        <x:v>18</x:v>
      </x:c>
      <x:c r="B98" s="38" t="str">
        <x:f>"4"</x:f>
        <x:v>4</x:v>
      </x:c>
      <x:c r="C98" s="38" t="str">
        <x:v>LETICIA MAX DE FREITAS</x:v>
      </x:c>
      <x:c r="D98" s="38" t="str">
        <x:f>"44314398892"</x:f>
        <x:v>44314398892</x:v>
      </x:c>
      <x:c r="E98" s="38" t="str">
        <x:f>""</x:f>
      </x:c>
      <x:c r="F98" s="38" t="str">
        <x:v>leticiamax2806@gmail.com</x:v>
      </x:c>
      <x:c r="G98" s="39" t="n">
        <x:v>46091</x:v>
      </x:c>
      <x:c r="H98" s="16" t="str">
        <x:v>03/2026</x:v>
      </x:c>
      <x:c r="I98" s="40" t="n">
        <x:v>445.74</x:v>
      </x:c>
      <x:c r="J98" s="40" t="n">
        <x:v>483.16</x:v>
      </x:c>
      <x:c r="K98" s="16" t="str">
        <x:v>Novo</x:v>
      </x:c>
      <x:c r="L98" s="16" t="str">
        <x:v>Em aberto</x:v>
      </x:c>
      <x:c r="M98" s="16" t="str">
        <x:v>a96fc1f7-49c7-485e-a7e4-e5c5fd57a49a</x:v>
      </x:c>
      <x:c r="N98" s="41" t="str"/>
    </x:row>
    <x:row r="99">
      <x:c r="A99" s="37" t="str">
        <x:f>"18"</x:f>
        <x:v>18</x:v>
      </x:c>
      <x:c r="B99" s="38" t="str">
        <x:f>"2"</x:f>
        <x:v>2</x:v>
      </x:c>
      <x:c r="C99" s="38" t="str">
        <x:v>FRANCISCO JOSÉ DE SAMPAIO</x:v>
      </x:c>
      <x:c r="D99" s="38" t="str">
        <x:f>"61797024388"</x:f>
        <x:v>61797024388</x:v>
      </x:c>
      <x:c r="E99" s="38" t="str">
        <x:f>"1127645599"</x:f>
        <x:v>1127645599</x:v>
      </x:c>
      <x:c r="F99" s="38" t="str">
        <x:v>franciscoxj16@gmail.com</x:v>
      </x:c>
      <x:c r="G99" s="39" t="n">
        <x:v>46091</x:v>
      </x:c>
      <x:c r="H99" s="16" t="str">
        <x:v>03/2026</x:v>
      </x:c>
      <x:c r="I99" s="40" t="n">
        <x:v>445.74</x:v>
      </x:c>
      <x:c r="J99" s="40" t="n">
        <x:v>483.16</x:v>
      </x:c>
      <x:c r="K99" s="16" t="str">
        <x:v>Novo</x:v>
      </x:c>
      <x:c r="L99" s="16" t="str">
        <x:v>Em aberto</x:v>
      </x:c>
      <x:c r="M99" s="16" t="str">
        <x:v>9aa64745-2770-4739-998a-7da5331a94ac</x:v>
      </x:c>
      <x:c r="N99" s="41" t="str"/>
    </x:row>
    <x:row r="100">
      <x:c r="A100" s="37" t="str">
        <x:f>"18"</x:f>
        <x:v>18</x:v>
      </x:c>
      <x:c r="B100" s="38" t="str">
        <x:f>"1"</x:f>
        <x:v>1</x:v>
      </x:c>
      <x:c r="C100" s="38" t="str">
        <x:v>DANIELE FERREIRA DOS SANTOS</x:v>
      </x:c>
      <x:c r="D100" s="38" t="str">
        <x:f>"22977281827"</x:f>
        <x:v>22977281827</x:v>
      </x:c>
      <x:c r="E100" s="38" t="str">
        <x:f>"11956770582"</x:f>
        <x:v>11956770582</x:v>
      </x:c>
      <x:c r="F100" s="38" t="str">
        <x:v>danieleferreiradossantos05@gmail.com</x:v>
      </x:c>
      <x:c r="G100" s="39" t="n">
        <x:v>46091</x:v>
      </x:c>
      <x:c r="H100" s="16" t="str">
        <x:v>03/2026</x:v>
      </x:c>
      <x:c r="I100" s="40" t="n">
        <x:v>445.74</x:v>
      </x:c>
      <x:c r="J100" s="40" t="n">
        <x:v>483.16</x:v>
      </x:c>
      <x:c r="K100" s="16" t="str">
        <x:v>Novo</x:v>
      </x:c>
      <x:c r="L100" s="16" t="str">
        <x:v>Em aberto</x:v>
      </x:c>
      <x:c r="M100" s="16" t="str">
        <x:v>2ca4c231-5be5-4130-b850-2ee838840c0e</x:v>
      </x:c>
      <x:c r="N100" s="41" t="str"/>
    </x:row>
    <x:row r="101">
      <x:c r="A101" s="37" t="str">
        <x:f>"18"</x:f>
        <x:v>18</x:v>
      </x:c>
      <x:c r="B101" s="38" t="str">
        <x:f>"1"</x:f>
        <x:v>1</x:v>
      </x:c>
      <x:c r="C101" s="38" t="str">
        <x:v>DANIELE FERREIRA DOS SANTOS</x:v>
      </x:c>
      <x:c r="D101" s="38" t="str">
        <x:f>"22977281827"</x:f>
        <x:v>22977281827</x:v>
      </x:c>
      <x:c r="E101" s="38" t="str">
        <x:f>"11956770582"</x:f>
        <x:v>11956770582</x:v>
      </x:c>
      <x:c r="F101" s="38" t="str">
        <x:v>danieleferreiradossantos05@gmail.com</x:v>
      </x:c>
      <x:c r="G101" s="39" t="n">
        <x:v>46152</x:v>
      </x:c>
      <x:c r="H101" s="16" t="str">
        <x:v>05/2026</x:v>
      </x:c>
      <x:c r="I101" s="40" t="n">
        <x:v>431.8</x:v>
      </x:c>
      <x:c r="J101" s="40" t="n">
        <x:v>453.25</x:v>
      </x:c>
      <x:c r="K101" s="16" t="str">
        <x:v>Novo</x:v>
      </x:c>
      <x:c r="L101" s="16" t="str">
        <x:v>Em aberto</x:v>
      </x:c>
      <x:c r="M101" s="16" t="str">
        <x:v>023d926d-00a4-41a0-8e2d-a30dbc028cda</x:v>
      </x:c>
      <x:c r="N101" s="41" t="str"/>
    </x:row>
    <x:row r="102">
      <x:c r="A102" s="37" t="str">
        <x:f>"18"</x:f>
        <x:v>18</x:v>
      </x:c>
      <x:c r="B102" s="38" t="str">
        <x:f>"2"</x:f>
        <x:v>2</x:v>
      </x:c>
      <x:c r="C102" s="38" t="str">
        <x:v>FRANCISCO JOSÉ DE SAMPAIO</x:v>
      </x:c>
      <x:c r="D102" s="38" t="str">
        <x:f>"61797024388"</x:f>
        <x:v>61797024388</x:v>
      </x:c>
      <x:c r="E102" s="38" t="str">
        <x:f>"1127645599"</x:f>
        <x:v>1127645599</x:v>
      </x:c>
      <x:c r="F102" s="38" t="str">
        <x:v>franciscoxj16@gmail.com</x:v>
      </x:c>
      <x:c r="G102" s="39" t="n">
        <x:v>46152</x:v>
      </x:c>
      <x:c r="H102" s="16" t="str">
        <x:v>05/2026</x:v>
      </x:c>
      <x:c r="I102" s="40" t="n">
        <x:v>431.8</x:v>
      </x:c>
      <x:c r="J102" s="40" t="n">
        <x:v>453.25</x:v>
      </x:c>
      <x:c r="K102" s="16" t="str">
        <x:v>Novo</x:v>
      </x:c>
      <x:c r="L102" s="16" t="str">
        <x:v>Em aberto</x:v>
      </x:c>
      <x:c r="M102" s="16" t="str">
        <x:v>d0eedda3-2cf7-438b-bbbd-34b65ad2e6db</x:v>
      </x:c>
      <x:c r="N102" s="41" t="str"/>
    </x:row>
    <x:row r="103">
      <x:c r="A103" s="37" t="str">
        <x:f>"18"</x:f>
        <x:v>18</x:v>
      </x:c>
      <x:c r="B103" s="38" t="str">
        <x:f>"1"</x:f>
        <x:v>1</x:v>
      </x:c>
      <x:c r="C103" s="38" t="str">
        <x:v>DANIELE FERREIRA DOS SANTOS</x:v>
      </x:c>
      <x:c r="D103" s="38" t="str">
        <x:f>"22977281827"</x:f>
        <x:v>22977281827</x:v>
      </x:c>
      <x:c r="E103" s="38" t="str">
        <x:f>"11956770582"</x:f>
        <x:v>11956770582</x:v>
      </x:c>
      <x:c r="F103" s="38" t="str">
        <x:v>danieleferreiradossantos05@gmail.com</x:v>
      </x:c>
      <x:c r="G103" s="39" t="n">
        <x:v>46183</x:v>
      </x:c>
      <x:c r="H103" s="16" t="str">
        <x:v>06/2026</x:v>
      </x:c>
      <x:c r="I103" s="40" t="n">
        <x:v>454.4</x:v>
      </x:c>
      <x:c r="J103" s="40" t="n">
        <x:v>468.12</x:v>
      </x:c>
      <x:c r="K103" s="16" t="str">
        <x:v>Novo</x:v>
      </x:c>
      <x:c r="L103" s="16" t="str">
        <x:v>Em aberto</x:v>
      </x:c>
      <x:c r="M103" s="16" t="str">
        <x:v>355658e5-c1d5-4f23-871f-6f866083261c</x:v>
      </x:c>
      <x:c r="N103" s="41" t="str"/>
    </x:row>
    <x:row r="104">
      <x:c r="A104" s="37" t="str">
        <x:f>"18"</x:f>
        <x:v>18</x:v>
      </x:c>
      <x:c r="B104" s="38" t="str">
        <x:f>"2"</x:f>
        <x:v>2</x:v>
      </x:c>
      <x:c r="C104" s="38" t="str">
        <x:v>FRANCISCO JOSÉ DE SAMPAIO</x:v>
      </x:c>
      <x:c r="D104" s="38" t="str">
        <x:f>"61797024388"</x:f>
        <x:v>61797024388</x:v>
      </x:c>
      <x:c r="E104" s="38" t="str">
        <x:f>"1127645599"</x:f>
        <x:v>1127645599</x:v>
      </x:c>
      <x:c r="F104" s="38" t="str">
        <x:v>franciscoxj16@gmail.com</x:v>
      </x:c>
      <x:c r="G104" s="39" t="n">
        <x:v>46183</x:v>
      </x:c>
      <x:c r="H104" s="16" t="str">
        <x:v>06/2026</x:v>
      </x:c>
      <x:c r="I104" s="40" t="n">
        <x:v>454.4</x:v>
      </x:c>
      <x:c r="J104" s="40" t="n">
        <x:v>468.12</x:v>
      </x:c>
      <x:c r="K104" s="16" t="str">
        <x:v>Novo</x:v>
      </x:c>
      <x:c r="L104" s="16" t="str">
        <x:v>Em aberto</x:v>
      </x:c>
      <x:c r="M104" s="16" t="str">
        <x:v>44e14383-ad11-4d56-a725-37147daadde6</x:v>
      </x:c>
      <x:c r="N104" s="41" t="str"/>
    </x:row>
    <x:row r="105">
      <x:c r="A105" s="37" t="str">
        <x:f>"21"</x:f>
        <x:v>21</x:v>
      </x:c>
      <x:c r="B105" s="38" t="str">
        <x:f>"6"</x:f>
        <x:v>6</x:v>
      </x:c>
      <x:c r="C105" s="38" t="str">
        <x:v>RENATA BARRETO DOS SANTOS</x:v>
      </x:c>
      <x:c r="D105" s="38" t="str">
        <x:f>"47595340837"</x:f>
        <x:v>47595340837</x:v>
      </x:c>
      <x:c r="E105" s="38" t="str">
        <x:f>"11977149331"</x:f>
        <x:v>11977149331</x:v>
      </x:c>
      <x:c r="F105" s="38" t="str">
        <x:v>renatabarreto02@hotmail.com</x:v>
      </x:c>
      <x:c r="G105" s="39" t="n">
        <x:v>46063</x:v>
      </x:c>
      <x:c r="H105" s="16" t="str">
        <x:v>02/2026</x:v>
      </x:c>
      <x:c r="I105" s="40" t="n">
        <x:v>440.4</x:v>
      </x:c>
      <x:c r="J105" s="40" t="n">
        <x:v>482.94</x:v>
      </x:c>
      <x:c r="K105" s="16" t="str">
        <x:v>Novo</x:v>
      </x:c>
      <x:c r="L105" s="16" t="str">
        <x:v>Em aberto</x:v>
      </x:c>
      <x:c r="M105" s="16" t="str">
        <x:v>1dbcb76c-f30c-40a3-91aa-d4212253ddc8</x:v>
      </x:c>
      <x:c r="N105" s="41" t="str"/>
    </x:row>
    <x:row r="106">
      <x:c r="A106" s="37" t="str">
        <x:f>"21"</x:f>
        <x:v>21</x:v>
      </x:c>
      <x:c r="B106" s="38" t="str">
        <x:f>"6"</x:f>
        <x:v>6</x:v>
      </x:c>
      <x:c r="C106" s="38" t="str">
        <x:v>RENATA BARRETO DOS SANTOS</x:v>
      </x:c>
      <x:c r="D106" s="38" t="str">
        <x:f>"47595340837"</x:f>
        <x:v>47595340837</x:v>
      </x:c>
      <x:c r="E106" s="38" t="str">
        <x:f>"11977149331"</x:f>
        <x:v>11977149331</x:v>
      </x:c>
      <x:c r="F106" s="38" t="str">
        <x:v>renatabarreto02@hotmail.com</x:v>
      </x:c>
      <x:c r="G106" s="39" t="n">
        <x:v>46091</x:v>
      </x:c>
      <x:c r="H106" s="16" t="str">
        <x:v>03/2026</x:v>
      </x:c>
      <x:c r="I106" s="40" t="n">
        <x:v>445.74</x:v>
      </x:c>
      <x:c r="J106" s="40" t="n">
        <x:v>483.16</x:v>
      </x:c>
      <x:c r="K106" s="16" t="str">
        <x:v>Novo</x:v>
      </x:c>
      <x:c r="L106" s="16" t="str">
        <x:v>Em aberto</x:v>
      </x:c>
      <x:c r="M106" s="16" t="str">
        <x:v>6d6f5b95-97ac-439e-bd6b-5492b2a95309</x:v>
      </x:c>
      <x:c r="N106" s="41" t="str"/>
    </x:row>
    <x:row r="107">
      <x:c r="A107" s="37" t="str">
        <x:f>"21"</x:f>
        <x:v>21</x:v>
      </x:c>
      <x:c r="B107" s="38" t="str">
        <x:f>"6"</x:f>
        <x:v>6</x:v>
      </x:c>
      <x:c r="C107" s="38" t="str">
        <x:v>RENATA BARRETO DOS SANTOS</x:v>
      </x:c>
      <x:c r="D107" s="38" t="str">
        <x:f>"47595340837"</x:f>
        <x:v>47595340837</x:v>
      </x:c>
      <x:c r="E107" s="38" t="str">
        <x:f>"11977149331"</x:f>
        <x:v>11977149331</x:v>
      </x:c>
      <x:c r="F107" s="38" t="str">
        <x:v>renatabarreto02@hotmail.com</x:v>
      </x:c>
      <x:c r="G107" s="39" t="n">
        <x:v>46152</x:v>
      </x:c>
      <x:c r="H107" s="16" t="str">
        <x:v>05/2026</x:v>
      </x:c>
      <x:c r="I107" s="40" t="n">
        <x:v>431.8</x:v>
      </x:c>
      <x:c r="J107" s="40" t="n">
        <x:v>453.25</x:v>
      </x:c>
      <x:c r="K107" s="16" t="str">
        <x:v>Novo</x:v>
      </x:c>
      <x:c r="L107" s="16" t="str">
        <x:v>Em aberto</x:v>
      </x:c>
      <x:c r="M107" s="16" t="str">
        <x:v>8640a029-70b0-4ab3-8eff-6bb6e4e3d8db</x:v>
      </x:c>
      <x:c r="N107" s="41" t="str"/>
    </x:row>
    <x:row r="108">
      <x:c r="A108" s="37" t="str">
        <x:f>"21"</x:f>
        <x:v>21</x:v>
      </x:c>
      <x:c r="B108" s="38" t="str">
        <x:f>"3"</x:f>
        <x:v>3</x:v>
      </x:c>
      <x:c r="C108" s="38" t="str">
        <x:v>VALQUIRIA DOS SANTOS SILVA</x:v>
      </x:c>
      <x:c r="D108" s="38" t="str">
        <x:f>"23295476845"</x:f>
        <x:v>23295476845</x:v>
      </x:c>
      <x:c r="E108" s="38" t="str">
        <x:f>"11930216791"</x:f>
        <x:v>11930216791</x:v>
      </x:c>
      <x:c r="F108" s="38" t="str">
        <x:v>valquiria_sl@live.com</x:v>
      </x:c>
      <x:c r="G108" s="39" t="n">
        <x:v>46183</x:v>
      </x:c>
      <x:c r="H108" s="16" t="str">
        <x:v>06/2026</x:v>
      </x:c>
      <x:c r="I108" s="40" t="n">
        <x:v>454.4</x:v>
      </x:c>
      <x:c r="J108" s="40" t="n">
        <x:v>468.12</x:v>
      </x:c>
      <x:c r="K108" s="16" t="str">
        <x:v>Novo</x:v>
      </x:c>
      <x:c r="L108" s="16" t="str">
        <x:v>Em aberto</x:v>
      </x:c>
      <x:c r="M108" s="16" t="str">
        <x:v>9143e250-9dcf-41a1-a31d-3babec263dc3</x:v>
      </x:c>
      <x:c r="N108" s="41" t="str"/>
    </x:row>
    <x:row r="109">
      <x:c r="A109" s="37" t="str">
        <x:f>"21"</x:f>
        <x:v>21</x:v>
      </x:c>
      <x:c r="B109" s="38" t="str">
        <x:f>"6"</x:f>
        <x:v>6</x:v>
      </x:c>
      <x:c r="C109" s="38" t="str">
        <x:v>RENATA BARRETO DOS SANTOS</x:v>
      </x:c>
      <x:c r="D109" s="38" t="str">
        <x:f>"47595340837"</x:f>
        <x:v>47595340837</x:v>
      </x:c>
      <x:c r="E109" s="38" t="str">
        <x:f>"11977149331"</x:f>
        <x:v>11977149331</x:v>
      </x:c>
      <x:c r="F109" s="38" t="str">
        <x:v>renatabarreto02@hotmail.com</x:v>
      </x:c>
      <x:c r="G109" s="39" t="n">
        <x:v>46183</x:v>
      </x:c>
      <x:c r="H109" s="16" t="str">
        <x:v>06/2026</x:v>
      </x:c>
      <x:c r="I109" s="40" t="n">
        <x:v>454.4</x:v>
      </x:c>
      <x:c r="J109" s="40" t="n">
        <x:v>468.12</x:v>
      </x:c>
      <x:c r="K109" s="16" t="str">
        <x:v>Novo</x:v>
      </x:c>
      <x:c r="L109" s="16" t="str">
        <x:v>Em aberto</x:v>
      </x:c>
      <x:c r="M109" s="16" t="str">
        <x:v>e6294f69-c8cc-4a7b-b825-6aa451ab35e7</x:v>
      </x:c>
      <x:c r="N109" s="41" t="str"/>
    </x:row>
    <x:row r="110">
      <x:c r="A110" s="37" t="str">
        <x:f>"22"</x:f>
        <x:v>22</x:v>
      </x:c>
      <x:c r="B110" s="38" t="str">
        <x:f>"3"</x:f>
        <x:v>3</x:v>
      </x:c>
      <x:c r="C110" s="38" t="str">
        <x:v>ARI MANOEL DE SOUZA</x:v>
      </x:c>
      <x:c r="D110" s="38" t="str">
        <x:f>"23438895897"</x:f>
        <x:v>23438895897</x:v>
      </x:c>
      <x:c r="E110" s="38" t="str">
        <x:f>"11983889732"</x:f>
        <x:v>11983889732</x:v>
      </x:c>
      <x:c r="F110" s="38" t="str">
        <x:v>elmanosouza2013@gmail.com</x:v>
      </x:c>
      <x:c r="G110" s="39" t="n">
        <x:v>46063</x:v>
      </x:c>
      <x:c r="H110" s="16" t="str">
        <x:v>02/2026</x:v>
      </x:c>
      <x:c r="I110" s="40" t="n">
        <x:v>426.2</x:v>
      </x:c>
      <x:c r="J110" s="40" t="n">
        <x:v>467.36</x:v>
      </x:c>
      <x:c r="K110" s="16" t="str">
        <x:v>Novo</x:v>
      </x:c>
      <x:c r="L110" s="16" t="str">
        <x:v>Em aberto</x:v>
      </x:c>
      <x:c r="M110" s="16" t="str">
        <x:v>50ad3a66-b137-45e6-ba19-915ea007a605</x:v>
      </x:c>
      <x:c r="N110" s="41" t="str"/>
    </x:row>
    <x:row r="111">
      <x:c r="A111" s="37" t="str">
        <x:f>"22"</x:f>
        <x:v>22</x:v>
      </x:c>
      <x:c r="B111" s="38" t="str">
        <x:f>"3"</x:f>
        <x:v>3</x:v>
      </x:c>
      <x:c r="C111" s="38" t="str">
        <x:v>ARI MANOEL DE SOUZA</x:v>
      </x:c>
      <x:c r="D111" s="38" t="str">
        <x:f>"23438895897"</x:f>
        <x:v>23438895897</x:v>
      </x:c>
      <x:c r="E111" s="38" t="str">
        <x:f>"11983889732"</x:f>
        <x:v>11983889732</x:v>
      </x:c>
      <x:c r="F111" s="38" t="str">
        <x:v>elmanosouza2013@gmail.com</x:v>
      </x:c>
      <x:c r="G111" s="39" t="n">
        <x:v>46091</x:v>
      </x:c>
      <x:c r="H111" s="16" t="str">
        <x:v>03/2026</x:v>
      </x:c>
      <x:c r="I111" s="40" t="n">
        <x:v>431.37</x:v>
      </x:c>
      <x:c r="J111" s="40" t="n">
        <x:v>467.6</x:v>
      </x:c>
      <x:c r="K111" s="16" t="str">
        <x:v>Novo</x:v>
      </x:c>
      <x:c r="L111" s="16" t="str">
        <x:v>Em aberto</x:v>
      </x:c>
      <x:c r="M111" s="16" t="str">
        <x:v>30e2ba10-a4d0-45f0-a2af-d0a675eaeca7</x:v>
      </x:c>
      <x:c r="N111" s="41" t="str"/>
    </x:row>
    <x:row r="112">
      <x:c r="A112" s="37" t="str">
        <x:f>"22"</x:f>
        <x:v>22</x:v>
      </x:c>
      <x:c r="B112" s="38" t="str">
        <x:f>"3"</x:f>
        <x:v>3</x:v>
      </x:c>
      <x:c r="C112" s="38" t="str">
        <x:v>ARI MANOEL DE SOUZA</x:v>
      </x:c>
      <x:c r="D112" s="38" t="str">
        <x:f>"23438895897"</x:f>
        <x:v>23438895897</x:v>
      </x:c>
      <x:c r="E112" s="38" t="str">
        <x:f>"11983889732"</x:f>
        <x:v>11983889732</x:v>
      </x:c>
      <x:c r="F112" s="38" t="str">
        <x:v>elmanosouza2013@gmail.com</x:v>
      </x:c>
      <x:c r="G112" s="39" t="n">
        <x:v>46125</x:v>
      </x:c>
      <x:c r="H112" s="16" t="str">
        <x:v>04/2026</x:v>
      </x:c>
      <x:c r="I112" s="40" t="n">
        <x:v>432.83</x:v>
      </x:c>
      <x:c r="J112" s="40" t="n">
        <x:v>460.8</x:v>
      </x:c>
      <x:c r="K112" s="16" t="str">
        <x:v>Novo</x:v>
      </x:c>
      <x:c r="L112" s="16" t="str">
        <x:v>Em aberto</x:v>
      </x:c>
      <x:c r="M112" s="16" t="str">
        <x:v>9bdae050-6407-4966-86ca-047e10f0934a</x:v>
      </x:c>
      <x:c r="N112" s="41" t="str"/>
    </x:row>
    <x:row r="113">
      <x:c r="A113" s="37" t="str">
        <x:f>"22"</x:f>
        <x:v>22</x:v>
      </x:c>
      <x:c r="B113" s="38" t="str">
        <x:f>"3"</x:f>
        <x:v>3</x:v>
      </x:c>
      <x:c r="C113" s="38" t="str">
        <x:v>ARI MANOEL DE SOUZA</x:v>
      </x:c>
      <x:c r="D113" s="38" t="str">
        <x:f>"23438895897"</x:f>
        <x:v>23438895897</x:v>
      </x:c>
      <x:c r="E113" s="38" t="str">
        <x:f>"11983889732"</x:f>
        <x:v>11983889732</x:v>
      </x:c>
      <x:c r="F113" s="38" t="str">
        <x:v>elmanosouza2013@gmail.com</x:v>
      </x:c>
      <x:c r="G113" s="39" t="n">
        <x:v>46152</x:v>
      </x:c>
      <x:c r="H113" s="16" t="str">
        <x:v>05/2026</x:v>
      </x:c>
      <x:c r="I113" s="40" t="n">
        <x:v>417.87</x:v>
      </x:c>
      <x:c r="J113" s="40" t="n">
        <x:v>438.62</x:v>
      </x:c>
      <x:c r="K113" s="16" t="str">
        <x:v>Novo</x:v>
      </x:c>
      <x:c r="L113" s="16" t="str">
        <x:v>Em aberto</x:v>
      </x:c>
      <x:c r="M113" s="16" t="str">
        <x:v>678a8ffa-4344-4ae6-9aea-357a189c4cbd</x:v>
      </x:c>
      <x:c r="N113" s="41" t="str"/>
    </x:row>
    <x:row r="114">
      <x:c r="A114" s="37" t="str">
        <x:f>"22"</x:f>
        <x:v>22</x:v>
      </x:c>
      <x:c r="B114" s="38" t="str">
        <x:f>"3"</x:f>
        <x:v>3</x:v>
      </x:c>
      <x:c r="C114" s="38" t="str">
        <x:v>ARI MANOEL DE SOUZA</x:v>
      </x:c>
      <x:c r="D114" s="38" t="str">
        <x:f>"23438895897"</x:f>
        <x:v>23438895897</x:v>
      </x:c>
      <x:c r="E114" s="38" t="str">
        <x:f>"11983889732"</x:f>
        <x:v>11983889732</x:v>
      </x:c>
      <x:c r="F114" s="38" t="str">
        <x:v>elmanosouza2013@gmail.com</x:v>
      </x:c>
      <x:c r="G114" s="39" t="n">
        <x:v>46183</x:v>
      </x:c>
      <x:c r="H114" s="16" t="str">
        <x:v>06/2026</x:v>
      </x:c>
      <x:c r="I114" s="40" t="n">
        <x:v>439.74</x:v>
      </x:c>
      <x:c r="J114" s="40" t="n">
        <x:v>453.02</x:v>
      </x:c>
      <x:c r="K114" s="16" t="str">
        <x:v>Novo</x:v>
      </x:c>
      <x:c r="L114" s="16" t="str">
        <x:v>Em aberto</x:v>
      </x:c>
      <x:c r="M114" s="16" t="str">
        <x:v>c36445a3-e5fd-4d84-9125-1e68b73f55a7</x:v>
      </x:c>
      <x:c r="N114" s="41" t="str"/>
    </x:row>
    <x:row r="115">
      <x:c r="A115" s="37" t="str">
        <x:f>"23"</x:f>
        <x:v>23</x:v>
      </x:c>
      <x:c r="B115" s="38" t="str">
        <x:f>"2"</x:f>
        <x:v>2</x:v>
      </x:c>
      <x:c r="C115" s="38" t="str">
        <x:v>MANOEL MESSIAS DE OLIVEIRA</x:v>
      </x:c>
      <x:c r="D115" s="38" t="str">
        <x:f>"92732208434"</x:f>
        <x:v>92732208434</x:v>
      </x:c>
      <x:c r="E115" s="38" t="str">
        <x:f>"11966962430"</x:f>
        <x:v>11966962430</x:v>
      </x:c>
      <x:c r="F115" s="38" t="str">
        <x:v>manoelzinho108@hotmail.com</x:v>
      </x:c>
      <x:c r="G115" s="39" t="n">
        <x:v>46183</x:v>
      </x:c>
      <x:c r="H115" s="16" t="str">
        <x:v>06/2026</x:v>
      </x:c>
      <x:c r="I115" s="40" t="n">
        <x:v>439.74</x:v>
      </x:c>
      <x:c r="J115" s="40" t="n">
        <x:v>453.02</x:v>
      </x:c>
      <x:c r="K115" s="16" t="str">
        <x:v>Novo</x:v>
      </x:c>
      <x:c r="L115" s="16" t="str">
        <x:v>Em aberto</x:v>
      </x:c>
      <x:c r="M115" s="16" t="str">
        <x:v>bbb0dfc2-f8a0-4e57-9588-027bc7f6d2ba</x:v>
      </x:c>
      <x:c r="N115" s="41" t="str"/>
    </x:row>
    <x:row r="116">
      <x:c r="A116" s="37" t="str">
        <x:f>"24"</x:f>
        <x:v>24</x:v>
      </x:c>
      <x:c r="B116" s="38" t="str">
        <x:f>"3"</x:f>
        <x:v>3</x:v>
      </x:c>
      <x:c r="C116" s="38" t="str">
        <x:v>DAIANE GIMENES DOS SANTOS</x:v>
      </x:c>
      <x:c r="D116" s="38" t="str">
        <x:f>"45667973847"</x:f>
        <x:v>45667973847</x:v>
      </x:c>
      <x:c r="E116" s="38" t="str">
        <x:f>"11989711495"</x:f>
        <x:v>11989711495</x:v>
      </x:c>
      <x:c r="F116" s="38" t="str">
        <x:v>day.gimenes10@gmail.com</x:v>
      </x:c>
      <x:c r="G116" s="39" t="n">
        <x:v>46183</x:v>
      </x:c>
      <x:c r="H116" s="16" t="str">
        <x:v>06/2026</x:v>
      </x:c>
      <x:c r="I116" s="40" t="n">
        <x:v>454.4</x:v>
      </x:c>
      <x:c r="J116" s="40" t="n">
        <x:v>468.12</x:v>
      </x:c>
      <x:c r="K116" s="16" t="str">
        <x:v>Novo</x:v>
      </x:c>
      <x:c r="L116" s="16" t="str">
        <x:v>Em aberto</x:v>
      </x:c>
      <x:c r="M116" s="16" t="str">
        <x:v>3ee4fc72-2f0d-491b-ba65-50c313e470bd</x:v>
      </x:c>
      <x:c r="N116" s="41" t="str"/>
    </x:row>
    <x:row r="117">
      <x:c r="A117" s="37" t="str">
        <x:f>"28"</x:f>
        <x:v>28</x:v>
      </x:c>
      <x:c r="B117" s="38" t="str">
        <x:f>"6"</x:f>
        <x:v>6</x:v>
      </x:c>
      <x:c r="C117" s="38" t="str">
        <x:v>GIOVANNA MACHADO BARBOSA DOURADO</x:v>
      </x:c>
      <x:c r="D117" s="38" t="str">
        <x:f>"52113495805"</x:f>
        <x:v>52113495805</x:v>
      </x:c>
      <x:c r="E117" s="38" t="str">
        <x:f>"11914436655"</x:f>
        <x:v>11914436655</x:v>
      </x:c>
      <x:c r="F117" s="38" t="str">
        <x:v>giovannamachado1223@gmail.com</x:v>
      </x:c>
      <x:c r="G117" s="39" t="n">
        <x:v>46091</x:v>
      </x:c>
      <x:c r="H117" s="16" t="str">
        <x:v>03/2026</x:v>
      </x:c>
      <x:c r="I117" s="40" t="n">
        <x:v>445.74</x:v>
      </x:c>
      <x:c r="J117" s="40" t="n">
        <x:v>483.16</x:v>
      </x:c>
      <x:c r="K117" s="16" t="str">
        <x:v>Novo</x:v>
      </x:c>
      <x:c r="L117" s="16" t="str">
        <x:v>Em aberto</x:v>
      </x:c>
      <x:c r="M117" s="16" t="str">
        <x:v>23b8dcbe-dbc8-4e07-817f-0173955de107</x:v>
      </x:c>
      <x:c r="N117" s="41" t="str"/>
    </x:row>
    <x:row r="118">
      <x:c r="A118" s="37" t="str">
        <x:f>"28"</x:f>
        <x:v>28</x:v>
      </x:c>
      <x:c r="B118" s="38" t="str">
        <x:f>"2"</x:f>
        <x:v>2</x:v>
      </x:c>
      <x:c r="C118" s="38" t="str">
        <x:v>JAQUELINE ALMEIDA SILVEIRA</x:v>
      </x:c>
      <x:c r="D118" s="38" t="str">
        <x:f>"37831504850"</x:f>
        <x:v>37831504850</x:v>
      </x:c>
      <x:c r="E118" s="38" t="str">
        <x:f>"11999727857"</x:f>
        <x:v>11999727857</x:v>
      </x:c>
      <x:c r="F118" s="38" t="str">
        <x:v>jadri_87@yahoo.com</x:v>
      </x:c>
      <x:c r="G118" s="39" t="n">
        <x:v>46152</x:v>
      </x:c>
      <x:c r="H118" s="16" t="str">
        <x:v>05/2026</x:v>
      </x:c>
      <x:c r="I118" s="40" t="n">
        <x:v>431.8</x:v>
      </x:c>
      <x:c r="J118" s="40" t="n">
        <x:v>453.25</x:v>
      </x:c>
      <x:c r="K118" s="16" t="str">
        <x:v>Novo</x:v>
      </x:c>
      <x:c r="L118" s="16" t="str">
        <x:v>Em aberto</x:v>
      </x:c>
      <x:c r="M118" s="16" t="str">
        <x:v>0d8ee269-4d74-4886-a5fa-c0da4fbae97c</x:v>
      </x:c>
      <x:c r="N118" s="41" t="str"/>
    </x:row>
    <x:row r="119">
      <x:c r="A119" s="37" t="str">
        <x:f>"32"</x:f>
        <x:v>32</x:v>
      </x:c>
      <x:c r="B119" s="38" t="str">
        <x:f>"1"</x:f>
        <x:v>1</x:v>
      </x:c>
      <x:c r="C119" s="38" t="str">
        <x:v>MIGUEL ARCANJO DOS SANTOS QUEIROZ</x:v>
      </x:c>
      <x:c r="D119" s="38" t="str">
        <x:f>"45519669830"</x:f>
        <x:v>45519669830</x:v>
      </x:c>
      <x:c r="E119" s="38" t="str">
        <x:f>"11932332141"</x:f>
        <x:v>11932332141</x:v>
      </x:c>
      <x:c r="F119" s="38" t="str">
        <x:v>defelix932@gmail.com</x:v>
      </x:c>
      <x:c r="G119" s="39" t="n">
        <x:v>46063</x:v>
      </x:c>
      <x:c r="H119" s="16" t="str">
        <x:v>02/2026</x:v>
      </x:c>
      <x:c r="I119" s="40" t="n">
        <x:v>426.2</x:v>
      </x:c>
      <x:c r="J119" s="40" t="n">
        <x:v>467.36</x:v>
      </x:c>
      <x:c r="K119" s="16" t="str">
        <x:v>Novo</x:v>
      </x:c>
      <x:c r="L119" s="16" t="str">
        <x:v>Em aberto</x:v>
      </x:c>
      <x:c r="M119" s="16" t="str">
        <x:v>16432f37-5186-4d0d-b6ea-400f3630b680</x:v>
      </x:c>
      <x:c r="N119" s="41" t="str"/>
    </x:row>
    <x:row r="120">
      <x:c r="A120" s="37" t="str">
        <x:f>"32"</x:f>
        <x:v>32</x:v>
      </x:c>
      <x:c r="B120" s="38" t="str">
        <x:f>"4"</x:f>
        <x:v>4</x:v>
      </x:c>
      <x:c r="C120" s="38" t="str">
        <x:v>GABRIELA GOMES DA SILVA</x:v>
      </x:c>
      <x:c r="D120" s="38" t="str">
        <x:f>"46450153890"</x:f>
        <x:v>46450153890</x:v>
      </x:c>
      <x:c r="E120" s="38" t="str">
        <x:f>""</x:f>
      </x:c>
      <x:c r="F120" s="38" t="str">
        <x:v>gabrielagomescv@gmail.com</x:v>
      </x:c>
      <x:c r="G120" s="39" t="n">
        <x:v>46063</x:v>
      </x:c>
      <x:c r="H120" s="16" t="str">
        <x:v>02/2026</x:v>
      </x:c>
      <x:c r="I120" s="40" t="n">
        <x:v>426.2</x:v>
      </x:c>
      <x:c r="J120" s="40" t="n">
        <x:v>467.36</x:v>
      </x:c>
      <x:c r="K120" s="16" t="str">
        <x:v>Novo</x:v>
      </x:c>
      <x:c r="L120" s="16" t="str">
        <x:v>Em aberto</x:v>
      </x:c>
      <x:c r="M120" s="16" t="str">
        <x:v>0207240e-0bbc-4820-8b3a-c77a7cbc435a</x:v>
      </x:c>
      <x:c r="N120" s="41" t="str"/>
    </x:row>
    <x:row r="121">
      <x:c r="A121" s="37" t="str">
        <x:f>"32"</x:f>
        <x:v>32</x:v>
      </x:c>
      <x:c r="B121" s="38" t="str">
        <x:f>"1"</x:f>
        <x:v>1</x:v>
      </x:c>
      <x:c r="C121" s="38" t="str">
        <x:v>MIGUEL ARCANJO DOS SANTOS QUEIROZ</x:v>
      </x:c>
      <x:c r="D121" s="38" t="str">
        <x:f>"45519669830"</x:f>
        <x:v>45519669830</x:v>
      </x:c>
      <x:c r="E121" s="38" t="str">
        <x:f>"11932332141"</x:f>
        <x:v>11932332141</x:v>
      </x:c>
      <x:c r="F121" s="38" t="str">
        <x:v>defelix932@gmail.com</x:v>
      </x:c>
      <x:c r="G121" s="39" t="n">
        <x:v>46091</x:v>
      </x:c>
      <x:c r="H121" s="16" t="str">
        <x:v>03/2026</x:v>
      </x:c>
      <x:c r="I121" s="40" t="n">
        <x:v>431.37</x:v>
      </x:c>
      <x:c r="J121" s="40" t="n">
        <x:v>467.6</x:v>
      </x:c>
      <x:c r="K121" s="16" t="str">
        <x:v>Novo</x:v>
      </x:c>
      <x:c r="L121" s="16" t="str">
        <x:v>Em aberto</x:v>
      </x:c>
      <x:c r="M121" s="16" t="str">
        <x:v>0c655d9a-74bf-4db1-9ee1-fe1b5daaf03e</x:v>
      </x:c>
      <x:c r="N121" s="41" t="str"/>
    </x:row>
    <x:row r="122">
      <x:c r="A122" s="37" t="str">
        <x:f>"32"</x:f>
        <x:v>32</x:v>
      </x:c>
      <x:c r="B122" s="38" t="str">
        <x:f>"4"</x:f>
        <x:v>4</x:v>
      </x:c>
      <x:c r="C122" s="38" t="str">
        <x:v>GABRIELA GOMES DA SILVA</x:v>
      </x:c>
      <x:c r="D122" s="38" t="str">
        <x:f>"46450153890"</x:f>
        <x:v>46450153890</x:v>
      </x:c>
      <x:c r="E122" s="38" t="str">
        <x:f>""</x:f>
      </x:c>
      <x:c r="F122" s="38" t="str">
        <x:v>gabrielagomescv@gmail.com</x:v>
      </x:c>
      <x:c r="G122" s="39" t="n">
        <x:v>46091</x:v>
      </x:c>
      <x:c r="H122" s="16" t="str">
        <x:v>03/2026</x:v>
      </x:c>
      <x:c r="I122" s="40" t="n">
        <x:v>431.37</x:v>
      </x:c>
      <x:c r="J122" s="40" t="n">
        <x:v>467.6</x:v>
      </x:c>
      <x:c r="K122" s="16" t="str">
        <x:v>Novo</x:v>
      </x:c>
      <x:c r="L122" s="16" t="str">
        <x:v>Em aberto</x:v>
      </x:c>
      <x:c r="M122" s="16" t="str">
        <x:v>e7651085-2641-476e-9f1a-0cfbb65363d8</x:v>
      </x:c>
      <x:c r="N122" s="41" t="str"/>
    </x:row>
    <x:row r="123">
      <x:c r="A123" s="37" t="str">
        <x:f>"32"</x:f>
        <x:v>32</x:v>
      </x:c>
      <x:c r="B123" s="38" t="str">
        <x:f>"1"</x:f>
        <x:v>1</x:v>
      </x:c>
      <x:c r="C123" s="38" t="str">
        <x:v>MIGUEL ARCANJO DOS SANTOS QUEIROZ</x:v>
      </x:c>
      <x:c r="D123" s="38" t="str">
        <x:f>"45519669830"</x:f>
        <x:v>45519669830</x:v>
      </x:c>
      <x:c r="E123" s="38" t="str">
        <x:f>"11932332141"</x:f>
        <x:v>11932332141</x:v>
      </x:c>
      <x:c r="F123" s="38" t="str">
        <x:v>defelix932@gmail.com</x:v>
      </x:c>
      <x:c r="G123" s="39" t="n">
        <x:v>46125</x:v>
      </x:c>
      <x:c r="H123" s="16" t="str">
        <x:v>04/2026</x:v>
      </x:c>
      <x:c r="I123" s="40" t="n">
        <x:v>432.83</x:v>
      </x:c>
      <x:c r="J123" s="40" t="n">
        <x:v>460.8</x:v>
      </x:c>
      <x:c r="K123" s="16" t="str">
        <x:v>Novo</x:v>
      </x:c>
      <x:c r="L123" s="16" t="str">
        <x:v>Em aberto</x:v>
      </x:c>
      <x:c r="M123" s="16" t="str">
        <x:v>57c26677-2655-438d-81e2-3bdbc5703b7a</x:v>
      </x:c>
      <x:c r="N123" s="41" t="str"/>
    </x:row>
    <x:row r="124">
      <x:c r="A124" s="37" t="str">
        <x:f>"32"</x:f>
        <x:v>32</x:v>
      </x:c>
      <x:c r="B124" s="38" t="str">
        <x:f>"4"</x:f>
        <x:v>4</x:v>
      </x:c>
      <x:c r="C124" s="38" t="str">
        <x:v>GABRIELA GOMES DA SILVA</x:v>
      </x:c>
      <x:c r="D124" s="38" t="str">
        <x:f>"46450153890"</x:f>
        <x:v>46450153890</x:v>
      </x:c>
      <x:c r="E124" s="38" t="str">
        <x:f>""</x:f>
      </x:c>
      <x:c r="F124" s="38" t="str">
        <x:v>gabrielagomescv@gmail.com</x:v>
      </x:c>
      <x:c r="G124" s="39" t="n">
        <x:v>46125</x:v>
      </x:c>
      <x:c r="H124" s="16" t="str">
        <x:v>04/2026</x:v>
      </x:c>
      <x:c r="I124" s="40" t="n">
        <x:v>432.83</x:v>
      </x:c>
      <x:c r="J124" s="40" t="n">
        <x:v>460.8</x:v>
      </x:c>
      <x:c r="K124" s="16" t="str">
        <x:v>Novo</x:v>
      </x:c>
      <x:c r="L124" s="16" t="str">
        <x:v>Em aberto</x:v>
      </x:c>
      <x:c r="M124" s="16" t="str">
        <x:v>b7c9b2bb-1780-4693-8541-647fbab93ec0</x:v>
      </x:c>
      <x:c r="N124" s="41" t="str"/>
    </x:row>
    <x:row r="125">
      <x:c r="A125" s="37" t="str">
        <x:f>"32"</x:f>
        <x:v>32</x:v>
      </x:c>
      <x:c r="B125" s="38" t="str">
        <x:f>"1"</x:f>
        <x:v>1</x:v>
      </x:c>
      <x:c r="C125" s="38" t="str">
        <x:v>MIGUEL ARCANJO DOS SANTOS QUEIROZ</x:v>
      </x:c>
      <x:c r="D125" s="38" t="str">
        <x:f>"45519669830"</x:f>
        <x:v>45519669830</x:v>
      </x:c>
      <x:c r="E125" s="38" t="str">
        <x:f>"11932332141"</x:f>
        <x:v>11932332141</x:v>
      </x:c>
      <x:c r="F125" s="38" t="str">
        <x:v>defelix932@gmail.com</x:v>
      </x:c>
      <x:c r="G125" s="39" t="n">
        <x:v>46152</x:v>
      </x:c>
      <x:c r="H125" s="16" t="str">
        <x:v>05/2026</x:v>
      </x:c>
      <x:c r="I125" s="40" t="n">
        <x:v>417.87</x:v>
      </x:c>
      <x:c r="J125" s="40" t="n">
        <x:v>438.62</x:v>
      </x:c>
      <x:c r="K125" s="16" t="str">
        <x:v>Novo</x:v>
      </x:c>
      <x:c r="L125" s="16" t="str">
        <x:v>Em aberto</x:v>
      </x:c>
      <x:c r="M125" s="16" t="str">
        <x:v>6af72c7a-0645-4e5c-a127-fc75be2c8143</x:v>
      </x:c>
      <x:c r="N125" s="41" t="str"/>
    </x:row>
    <x:row r="126">
      <x:c r="A126" s="37" t="str">
        <x:f>"32"</x:f>
        <x:v>32</x:v>
      </x:c>
      <x:c r="B126" s="38" t="str">
        <x:f>"4"</x:f>
        <x:v>4</x:v>
      </x:c>
      <x:c r="C126" s="38" t="str">
        <x:v>GABRIELA GOMES DA SILVA</x:v>
      </x:c>
      <x:c r="D126" s="38" t="str">
        <x:f>"46450153890"</x:f>
        <x:v>46450153890</x:v>
      </x:c>
      <x:c r="E126" s="38" t="str">
        <x:f>""</x:f>
      </x:c>
      <x:c r="F126" s="38" t="str">
        <x:v>gabrielagomescv@gmail.com</x:v>
      </x:c>
      <x:c r="G126" s="39" t="n">
        <x:v>46152</x:v>
      </x:c>
      <x:c r="H126" s="16" t="str">
        <x:v>05/2026</x:v>
      </x:c>
      <x:c r="I126" s="40" t="n">
        <x:v>417.87</x:v>
      </x:c>
      <x:c r="J126" s="40" t="n">
        <x:v>438.62</x:v>
      </x:c>
      <x:c r="K126" s="16" t="str">
        <x:v>Novo</x:v>
      </x:c>
      <x:c r="L126" s="16" t="str">
        <x:v>Em aberto</x:v>
      </x:c>
      <x:c r="M126" s="16" t="str">
        <x:v>1b2f6cb9-f18a-4e9b-bc81-fe479b600edb</x:v>
      </x:c>
      <x:c r="N126" s="41" t="str"/>
    </x:row>
    <x:row r="127">
      <x:c r="A127" s="37" t="str">
        <x:f>"32"</x:f>
        <x:v>32</x:v>
      </x:c>
      <x:c r="B127" s="38" t="str">
        <x:f>"1"</x:f>
        <x:v>1</x:v>
      </x:c>
      <x:c r="C127" s="38" t="str">
        <x:v>MIGUEL ARCANJO DOS SANTOS QUEIROZ</x:v>
      </x:c>
      <x:c r="D127" s="38" t="str">
        <x:f>"45519669830"</x:f>
        <x:v>45519669830</x:v>
      </x:c>
      <x:c r="E127" s="38" t="str">
        <x:f>"11932332141"</x:f>
        <x:v>11932332141</x:v>
      </x:c>
      <x:c r="F127" s="38" t="str">
        <x:v>defelix932@gmail.com</x:v>
      </x:c>
      <x:c r="G127" s="39" t="n">
        <x:v>46183</x:v>
      </x:c>
      <x:c r="H127" s="16" t="str">
        <x:v>06/2026</x:v>
      </x:c>
      <x:c r="I127" s="40" t="n">
        <x:v>439.74</x:v>
      </x:c>
      <x:c r="J127" s="40" t="n">
        <x:v>453.02</x:v>
      </x:c>
      <x:c r="K127" s="16" t="str">
        <x:v>Novo</x:v>
      </x:c>
      <x:c r="L127" s="16" t="str">
        <x:v>Em aberto</x:v>
      </x:c>
      <x:c r="M127" s="16" t="str">
        <x:v>faf58549-305c-4223-8c75-f046a4494cff</x:v>
      </x:c>
      <x:c r="N127" s="41" t="str"/>
    </x:row>
    <x:row r="128">
      <x:c r="A128" s="37" t="str">
        <x:f>"32"</x:f>
        <x:v>32</x:v>
      </x:c>
      <x:c r="B128" s="38" t="str">
        <x:f>"4"</x:f>
        <x:v>4</x:v>
      </x:c>
      <x:c r="C128" s="38" t="str">
        <x:v>GABRIELA GOMES DA SILVA</x:v>
      </x:c>
      <x:c r="D128" s="38" t="str">
        <x:f>"46450153890"</x:f>
        <x:v>46450153890</x:v>
      </x:c>
      <x:c r="E128" s="38" t="str">
        <x:f>""</x:f>
      </x:c>
      <x:c r="F128" s="38" t="str">
        <x:v>gabrielagomescv@gmail.com</x:v>
      </x:c>
      <x:c r="G128" s="39" t="n">
        <x:v>46183</x:v>
      </x:c>
      <x:c r="H128" s="16" t="str">
        <x:v>06/2026</x:v>
      </x:c>
      <x:c r="I128" s="40" t="n">
        <x:v>439.74</x:v>
      </x:c>
      <x:c r="J128" s="40" t="n">
        <x:v>453.02</x:v>
      </x:c>
      <x:c r="K128" s="16" t="str">
        <x:v>Novo</x:v>
      </x:c>
      <x:c r="L128" s="16" t="str">
        <x:v>Em aberto</x:v>
      </x:c>
      <x:c r="M128" s="16" t="str">
        <x:v>efa6267a-39de-40ac-af04-6d5a6d879d35</x:v>
      </x:c>
      <x:c r="N128" s="41" t="str"/>
    </x:row>
    <x:row r="129">
      <x:c r="A129" s="37" t="str">
        <x:f>"33"</x:f>
        <x:v>33</x:v>
      </x:c>
      <x:c r="B129" s="38" t="str">
        <x:f>"4"</x:f>
        <x:v>4</x:v>
      </x:c>
      <x:c r="C129" s="38" t="str">
        <x:v>VANDERSON SOUZA DOS SANTOS</x:v>
      </x:c>
      <x:c r="D129" s="38" t="str">
        <x:f>"40128034840"</x:f>
        <x:v>40128034840</x:v>
      </x:c>
      <x:c r="E129" s="38" t="str">
        <x:f>"11960815540"</x:f>
        <x:v>11960815540</x:v>
      </x:c>
      <x:c r="F129" s="38" t="str">
        <x:v>vandyibres@live.com</x:v>
      </x:c>
      <x:c r="G129" s="39" t="n">
        <x:v>46125</x:v>
      </x:c>
      <x:c r="H129" s="16" t="str">
        <x:v>04/2026</x:v>
      </x:c>
      <x:c r="I129" s="40" t="n">
        <x:v>432.83</x:v>
      </x:c>
      <x:c r="J129" s="40" t="n">
        <x:v>460.8</x:v>
      </x:c>
      <x:c r="K129" s="16" t="str">
        <x:v>Novo</x:v>
      </x:c>
      <x:c r="L129" s="16" t="str">
        <x:v>Em aberto</x:v>
      </x:c>
      <x:c r="M129" s="16" t="str">
        <x:v>257e4d31-4385-4aca-89d4-d130a5ec1a7b</x:v>
      </x:c>
      <x:c r="N129" s="41" t="str"/>
    </x:row>
    <x:row r="130">
      <x:c r="A130" s="37" t="str">
        <x:f>"33"</x:f>
        <x:v>33</x:v>
      </x:c>
      <x:c r="B130" s="38" t="str">
        <x:f>"4"</x:f>
        <x:v>4</x:v>
      </x:c>
      <x:c r="C130" s="38" t="str">
        <x:v>VANDERSON SOUZA DOS SANTOS</x:v>
      </x:c>
      <x:c r="D130" s="38" t="str">
        <x:f>"40128034840"</x:f>
        <x:v>40128034840</x:v>
      </x:c>
      <x:c r="E130" s="38" t="str">
        <x:f>"11960815540"</x:f>
        <x:v>11960815540</x:v>
      </x:c>
      <x:c r="F130" s="38" t="str">
        <x:v>vandyibres@live.com</x:v>
      </x:c>
      <x:c r="G130" s="39" t="n">
        <x:v>46152</x:v>
      </x:c>
      <x:c r="H130" s="16" t="str">
        <x:v>05/2026</x:v>
      </x:c>
      <x:c r="I130" s="40" t="n">
        <x:v>417.87</x:v>
      </x:c>
      <x:c r="J130" s="40" t="n">
        <x:v>438.62</x:v>
      </x:c>
      <x:c r="K130" s="16" t="str">
        <x:v>Novo</x:v>
      </x:c>
      <x:c r="L130" s="16" t="str">
        <x:v>Em aberto</x:v>
      </x:c>
      <x:c r="M130" s="16" t="str">
        <x:v>36679e73-19f3-4b23-a3ed-803838294a78</x:v>
      </x:c>
      <x:c r="N130" s="41" t="str"/>
    </x:row>
    <x:row r="131">
      <x:c r="A131" s="37" t="str">
        <x:f>"33"</x:f>
        <x:v>33</x:v>
      </x:c>
      <x:c r="B131" s="38" t="str">
        <x:f>"4"</x:f>
        <x:v>4</x:v>
      </x:c>
      <x:c r="C131" s="38" t="str">
        <x:v>VANDERSON SOUZA DOS SANTOS</x:v>
      </x:c>
      <x:c r="D131" s="38" t="str">
        <x:f>"40128034840"</x:f>
        <x:v>40128034840</x:v>
      </x:c>
      <x:c r="E131" s="38" t="str">
        <x:f>"11960815540"</x:f>
        <x:v>11960815540</x:v>
      </x:c>
      <x:c r="F131" s="38" t="str">
        <x:v>vandyibres@live.com</x:v>
      </x:c>
      <x:c r="G131" s="39" t="n">
        <x:v>46183</x:v>
      </x:c>
      <x:c r="H131" s="16" t="str">
        <x:v>06/2026</x:v>
      </x:c>
      <x:c r="I131" s="40" t="n">
        <x:v>439.74</x:v>
      </x:c>
      <x:c r="J131" s="40" t="n">
        <x:v>453.02</x:v>
      </x:c>
      <x:c r="K131" s="16" t="str">
        <x:v>Novo</x:v>
      </x:c>
      <x:c r="L131" s="16" t="str">
        <x:v>Em aberto</x:v>
      </x:c>
      <x:c r="M131" s="16" t="str">
        <x:v>cd26210f-5456-487b-b103-da8492dbe0e8</x:v>
      </x:c>
      <x:c r="N131" s="41" t="str"/>
    </x:row>
    <x:row r="132">
      <x:c r="A132" s="37" t="str">
        <x:f>"34"</x:f>
        <x:v>34</x:v>
      </x:c>
      <x:c r="B132" s="38" t="str">
        <x:f>"4"</x:f>
        <x:v>4</x:v>
      </x:c>
      <x:c r="C132" s="38" t="str">
        <x:v>SILAS FERNANDES DE PAIVA</x:v>
      </x:c>
      <x:c r="D132" s="38" t="str">
        <x:f>"40103780858"</x:f>
        <x:v>40103780858</x:v>
      </x:c>
      <x:c r="E132" s="38" t="str">
        <x:f>"11952386328"</x:f>
        <x:v>11952386328</x:v>
      </x:c>
      <x:c r="F132" s="38" t="str">
        <x:v>silasfernandespaiva3000@gmail.com</x:v>
      </x:c>
      <x:c r="G132" s="39" t="n">
        <x:v>46183</x:v>
      </x:c>
      <x:c r="H132" s="16" t="str">
        <x:v>06/2026</x:v>
      </x:c>
      <x:c r="I132" s="40" t="n">
        <x:v>454.4</x:v>
      </x:c>
      <x:c r="J132" s="40" t="n">
        <x:v>468.12</x:v>
      </x:c>
      <x:c r="K132" s="16" t="str">
        <x:v>Novo</x:v>
      </x:c>
      <x:c r="L132" s="16" t="str">
        <x:v>Em aberto</x:v>
      </x:c>
      <x:c r="M132" s="16" t="str">
        <x:v>9022e660-0acd-4210-b60c-bb694cbd951c</x:v>
      </x:c>
      <x:c r="N132" s="41" t="str"/>
    </x:row>
    <x:row r="133">
      <x:c r="A133" s="37" t="str">
        <x:f>"35"</x:f>
        <x:v>35</x:v>
      </x:c>
      <x:c r="B133" s="38" t="str">
        <x:f>"4"</x:f>
        <x:v>4</x:v>
      </x:c>
      <x:c r="C133" s="38" t="str">
        <x:v>ARIEL ELOY QUIRINO</x:v>
      </x:c>
      <x:c r="D133" s="38" t="str">
        <x:f>"39540147859"</x:f>
        <x:v>39540147859</x:v>
      </x:c>
      <x:c r="E133" s="38" t="str">
        <x:f>"11962589057"</x:f>
        <x:v>11962589057</x:v>
      </x:c>
      <x:c r="F133" s="38" t="str">
        <x:v>ariel.eloy@icloud.com</x:v>
      </x:c>
      <x:c r="G133" s="39" t="n">
        <x:v>46063</x:v>
      </x:c>
      <x:c r="H133" s="16" t="str">
        <x:v>02/2026</x:v>
      </x:c>
      <x:c r="I133" s="40" t="n">
        <x:v>440.4</x:v>
      </x:c>
      <x:c r="J133" s="40" t="n">
        <x:v>482.94</x:v>
      </x:c>
      <x:c r="K133" s="16" t="str">
        <x:v>Novo</x:v>
      </x:c>
      <x:c r="L133" s="16" t="str">
        <x:v>Em aberto</x:v>
      </x:c>
      <x:c r="M133" s="16" t="str">
        <x:v>989cd29f-c463-4587-96ab-3dad43452952</x:v>
      </x:c>
      <x:c r="N133" s="41" t="str"/>
    </x:row>
    <x:row r="134">
      <x:c r="A134" s="37" t="str">
        <x:f>"35"</x:f>
        <x:v>35</x:v>
      </x:c>
      <x:c r="B134" s="38" t="str">
        <x:f>"4"</x:f>
        <x:v>4</x:v>
      </x:c>
      <x:c r="C134" s="38" t="str">
        <x:v>ARIEL ELOY QUIRINO</x:v>
      </x:c>
      <x:c r="D134" s="38" t="str">
        <x:f>"39540147859"</x:f>
        <x:v>39540147859</x:v>
      </x:c>
      <x:c r="E134" s="38" t="str">
        <x:f>"11962589057"</x:f>
        <x:v>11962589057</x:v>
      </x:c>
      <x:c r="F134" s="38" t="str">
        <x:v>ariel.eloy@icloud.com</x:v>
      </x:c>
      <x:c r="G134" s="39" t="n">
        <x:v>46091</x:v>
      </x:c>
      <x:c r="H134" s="16" t="str">
        <x:v>03/2026</x:v>
      </x:c>
      <x:c r="I134" s="40" t="n">
        <x:v>445.74</x:v>
      </x:c>
      <x:c r="J134" s="40" t="n">
        <x:v>483.16</x:v>
      </x:c>
      <x:c r="K134" s="16" t="str">
        <x:v>Novo</x:v>
      </x:c>
      <x:c r="L134" s="16" t="str">
        <x:v>Em aberto</x:v>
      </x:c>
      <x:c r="M134" s="16" t="str">
        <x:v>5a1e5daa-fd59-4cca-a21a-a544671f02ba</x:v>
      </x:c>
      <x:c r="N134" s="41" t="str"/>
    </x:row>
    <x:row r="135">
      <x:c r="A135" s="37" t="str">
        <x:f>"35"</x:f>
        <x:v>35</x:v>
      </x:c>
      <x:c r="B135" s="38" t="str">
        <x:f>"4"</x:f>
        <x:v>4</x:v>
      </x:c>
      <x:c r="C135" s="38" t="str">
        <x:v>ARIEL ELOY QUIRINO</x:v>
      </x:c>
      <x:c r="D135" s="38" t="str">
        <x:f>"39540147859"</x:f>
        <x:v>39540147859</x:v>
      </x:c>
      <x:c r="E135" s="38" t="str">
        <x:f>"11962589057"</x:f>
        <x:v>11962589057</x:v>
      </x:c>
      <x:c r="F135" s="38" t="str">
        <x:v>ariel.eloy@icloud.com</x:v>
      </x:c>
      <x:c r="G135" s="39" t="n">
        <x:v>46125</x:v>
      </x:c>
      <x:c r="H135" s="16" t="str">
        <x:v>04/2026</x:v>
      </x:c>
      <x:c r="I135" s="40" t="n">
        <x:v>447.25</x:v>
      </x:c>
      <x:c r="J135" s="40" t="n">
        <x:v>476.15</x:v>
      </x:c>
      <x:c r="K135" s="16" t="str">
        <x:v>Novo</x:v>
      </x:c>
      <x:c r="L135" s="16" t="str">
        <x:v>Em aberto</x:v>
      </x:c>
      <x:c r="M135" s="16" t="str">
        <x:v>573efc96-ab4d-4c9c-b0b2-73ce522d9f31</x:v>
      </x:c>
      <x:c r="N135" s="41" t="str"/>
    </x:row>
    <x:row r="136">
      <x:c r="A136" s="37" t="str">
        <x:f>"35"</x:f>
        <x:v>35</x:v>
      </x:c>
      <x:c r="B136" s="38" t="str">
        <x:f>"4"</x:f>
        <x:v>4</x:v>
      </x:c>
      <x:c r="C136" s="38" t="str">
        <x:v>ARIEL ELOY QUIRINO</x:v>
      </x:c>
      <x:c r="D136" s="38" t="str">
        <x:f>"39540147859"</x:f>
        <x:v>39540147859</x:v>
      </x:c>
      <x:c r="E136" s="38" t="str">
        <x:f>"11962589057"</x:f>
        <x:v>11962589057</x:v>
      </x:c>
      <x:c r="F136" s="38" t="str">
        <x:v>ariel.eloy@icloud.com</x:v>
      </x:c>
      <x:c r="G136" s="39" t="n">
        <x:v>46152</x:v>
      </x:c>
      <x:c r="H136" s="16" t="str">
        <x:v>05/2026</x:v>
      </x:c>
      <x:c r="I136" s="40" t="n">
        <x:v>431.8</x:v>
      </x:c>
      <x:c r="J136" s="40" t="n">
        <x:v>453.25</x:v>
      </x:c>
      <x:c r="K136" s="16" t="str">
        <x:v>Novo</x:v>
      </x:c>
      <x:c r="L136" s="16" t="str">
        <x:v>Em aberto</x:v>
      </x:c>
      <x:c r="M136" s="16" t="str">
        <x:v>1021d055-aa2f-4f08-a1f1-1601781774c4</x:v>
      </x:c>
      <x:c r="N136" s="41" t="str"/>
    </x:row>
    <x:row r="137">
      <x:c r="A137" s="37" t="str">
        <x:f>"35"</x:f>
        <x:v>35</x:v>
      </x:c>
      <x:c r="B137" s="38" t="str">
        <x:f>"4"</x:f>
        <x:v>4</x:v>
      </x:c>
      <x:c r="C137" s="38" t="str">
        <x:v>ARIEL ELOY QUIRINO</x:v>
      </x:c>
      <x:c r="D137" s="38" t="str">
        <x:f>"39540147859"</x:f>
        <x:v>39540147859</x:v>
      </x:c>
      <x:c r="E137" s="38" t="str">
        <x:f>"11962589057"</x:f>
        <x:v>11962589057</x:v>
      </x:c>
      <x:c r="F137" s="38" t="str">
        <x:v>ariel.eloy@icloud.com</x:v>
      </x:c>
      <x:c r="G137" s="39" t="n">
        <x:v>46183</x:v>
      </x:c>
      <x:c r="H137" s="16" t="str">
        <x:v>06/2026</x:v>
      </x:c>
      <x:c r="I137" s="40" t="n">
        <x:v>454.4</x:v>
      </x:c>
      <x:c r="J137" s="40" t="n">
        <x:v>468.12</x:v>
      </x:c>
      <x:c r="K137" s="16" t="str">
        <x:v>Novo</x:v>
      </x:c>
      <x:c r="L137" s="16" t="str">
        <x:v>Em aberto</x:v>
      </x:c>
      <x:c r="M137" s="16" t="str">
        <x:v>6356d952-3ef7-40f2-b2c9-a03e1ceee40f</x:v>
      </x:c>
      <x:c r="N137" s="41" t="str"/>
    </x:row>
    <x:row r="138">
      <x:c r="A138" s="37" t="str">
        <x:f>"35"</x:f>
        <x:v>35</x:v>
      </x:c>
      <x:c r="B138" s="38" t="str">
        <x:f>"2"</x:f>
        <x:v>2</x:v>
      </x:c>
      <x:c r="C138" s="38" t="str">
        <x:v>CATIANA RODRIGUES VEIGA</x:v>
      </x:c>
      <x:c r="D138" s="38" t="str">
        <x:f>"31296320855"</x:f>
        <x:v>31296320855</x:v>
      </x:c>
      <x:c r="E138" s="38" t="str">
        <x:f>"11973198473"</x:f>
        <x:v>11973198473</x:v>
      </x:c>
      <x:c r="F138" s="38" t="str">
        <x:v>catieduda@hotmail.com</x:v>
      </x:c>
      <x:c r="G138" s="39" t="n">
        <x:v>46183</x:v>
      </x:c>
      <x:c r="H138" s="16" t="str">
        <x:v>06/2026</x:v>
      </x:c>
      <x:c r="I138" s="40" t="n">
        <x:v>534.4</x:v>
      </x:c>
      <x:c r="J138" s="40" t="n">
        <x:v>550.54</x:v>
      </x:c>
      <x:c r="K138" s="16" t="str">
        <x:v>Novo</x:v>
      </x:c>
      <x:c r="L138" s="16" t="str">
        <x:v>Em aberto</x:v>
      </x:c>
      <x:c r="M138" s="16" t="str">
        <x:v>1ca15679-20b7-4298-adf2-432400df25fd</x:v>
      </x:c>
      <x:c r="N138" s="41" t="str"/>
    </x:row>
    <x:row r="139">
      <x:c r="A139" s="37" t="str">
        <x:f>"38"</x:f>
        <x:v>38</x:v>
      </x:c>
      <x:c r="B139" s="38" t="str">
        <x:f>"2"</x:f>
        <x:v>2</x:v>
      </x:c>
      <x:c r="C139" s="38" t="str">
        <x:v>JAMES WILLIAM MACIEL DE JESUS</x:v>
      </x:c>
      <x:c r="D139" s="38" t="str">
        <x:f>"42751943810"</x:f>
        <x:v>42751943810</x:v>
      </x:c>
      <x:c r="E139" s="38" t="str">
        <x:f>"11951510818"</x:f>
        <x:v>11951510818</x:v>
      </x:c>
      <x:c r="F139" s="38" t="str">
        <x:v>jameswilliammaciel@gmail.com</x:v>
      </x:c>
      <x:c r="G139" s="39" t="n">
        <x:v>46063</x:v>
      </x:c>
      <x:c r="H139" s="16" t="str">
        <x:v>02/2026</x:v>
      </x:c>
      <x:c r="I139" s="40" t="n">
        <x:v>440.4</x:v>
      </x:c>
      <x:c r="J139" s="40" t="n">
        <x:v>482.94</x:v>
      </x:c>
      <x:c r="K139" s="16" t="str">
        <x:v>Novo</x:v>
      </x:c>
      <x:c r="L139" s="16" t="str">
        <x:v>Em aberto</x:v>
      </x:c>
      <x:c r="M139" s="16" t="str">
        <x:v>36d0f7ca-a655-45dc-90ef-7373d6fc6850</x:v>
      </x:c>
      <x:c r="N139" s="41" t="str"/>
    </x:row>
    <x:row r="140">
      <x:c r="A140" s="37" t="str">
        <x:f>"38"</x:f>
        <x:v>38</x:v>
      </x:c>
      <x:c r="B140" s="38" t="str">
        <x:f>"3"</x:f>
        <x:v>3</x:v>
      </x:c>
      <x:c r="C140" s="38" t="str">
        <x:v>LAURENILCE ANDRADE FAQUINETE</x:v>
      </x:c>
      <x:c r="D140" s="38" t="str">
        <x:f>"18471317869"</x:f>
        <x:v>18471317869</x:v>
      </x:c>
      <x:c r="E140" s="38" t="str">
        <x:f>"11987883446"</x:f>
        <x:v>11987883446</x:v>
      </x:c>
      <x:c r="F140" s="38" t="str">
        <x:v>wesley.faquinete@outlook.com</x:v>
      </x:c>
      <x:c r="G140" s="39" t="n">
        <x:v>46063</x:v>
      </x:c>
      <x:c r="H140" s="16" t="str">
        <x:v>02/2026</x:v>
      </x:c>
      <x:c r="I140" s="40" t="n">
        <x:v>440.4</x:v>
      </x:c>
      <x:c r="J140" s="40" t="n">
        <x:v>482.94</x:v>
      </x:c>
      <x:c r="K140" s="16" t="str">
        <x:v>Novo</x:v>
      </x:c>
      <x:c r="L140" s="16" t="str">
        <x:v>Em aberto</x:v>
      </x:c>
      <x:c r="M140" s="16" t="str">
        <x:v>2a9aa576-1964-447f-9767-45c821046a29</x:v>
      </x:c>
      <x:c r="N140" s="41" t="str"/>
    </x:row>
    <x:row r="141">
      <x:c r="A141" s="37" t="str">
        <x:f>"38"</x:f>
        <x:v>38</x:v>
      </x:c>
      <x:c r="B141" s="38" t="str">
        <x:f>"3"</x:f>
        <x:v>3</x:v>
      </x:c>
      <x:c r="C141" s="38" t="str">
        <x:v>LAURENILCE ANDRADE FAQUINETE</x:v>
      </x:c>
      <x:c r="D141" s="38" t="str">
        <x:f>"18471317869"</x:f>
        <x:v>18471317869</x:v>
      </x:c>
      <x:c r="E141" s="38" t="str">
        <x:f>"11987883446"</x:f>
        <x:v>11987883446</x:v>
      </x:c>
      <x:c r="F141" s="38" t="str">
        <x:v>wesley.faquinete@outlook.com</x:v>
      </x:c>
      <x:c r="G141" s="39" t="n">
        <x:v>46091</x:v>
      </x:c>
      <x:c r="H141" s="16" t="str">
        <x:v>03/2026</x:v>
      </x:c>
      <x:c r="I141" s="40" t="n">
        <x:v>445.74</x:v>
      </x:c>
      <x:c r="J141" s="40" t="n">
        <x:v>483.16</x:v>
      </x:c>
      <x:c r="K141" s="16" t="str">
        <x:v>Novo</x:v>
      </x:c>
      <x:c r="L141" s="16" t="str">
        <x:v>Em aberto</x:v>
      </x:c>
      <x:c r="M141" s="16" t="str">
        <x:v>252f9740-e144-448e-a56a-bb0f751fd28f</x:v>
      </x:c>
      <x:c r="N141" s="41" t="str"/>
    </x:row>
    <x:row r="142">
      <x:c r="A142" s="37" t="str">
        <x:f>"38"</x:f>
        <x:v>38</x:v>
      </x:c>
      <x:c r="B142" s="38" t="str">
        <x:f>"3"</x:f>
        <x:v>3</x:v>
      </x:c>
      <x:c r="C142" s="38" t="str">
        <x:v>LAURENILCE ANDRADE FAQUINETE</x:v>
      </x:c>
      <x:c r="D142" s="38" t="str">
        <x:f>"18471317869"</x:f>
        <x:v>18471317869</x:v>
      </x:c>
      <x:c r="E142" s="38" t="str">
        <x:f>"11987883446"</x:f>
        <x:v>11987883446</x:v>
      </x:c>
      <x:c r="F142" s="38" t="str">
        <x:v>wesley.faquinete@outlook.com</x:v>
      </x:c>
      <x:c r="G142" s="39" t="n">
        <x:v>46125</x:v>
      </x:c>
      <x:c r="H142" s="16" t="str">
        <x:v>04/2026</x:v>
      </x:c>
      <x:c r="I142" s="40" t="n">
        <x:v>447.25</x:v>
      </x:c>
      <x:c r="J142" s="40" t="n">
        <x:v>476.15</x:v>
      </x:c>
      <x:c r="K142" s="16" t="str">
        <x:v>Novo</x:v>
      </x:c>
      <x:c r="L142" s="16" t="str">
        <x:v>Em aberto</x:v>
      </x:c>
      <x:c r="M142" s="16" t="str">
        <x:v>804d9679-392e-455d-bfba-626e89d073c9</x:v>
      </x:c>
      <x:c r="N142" s="41" t="str"/>
    </x:row>
    <x:row r="143">
      <x:c r="A143" s="37" t="str">
        <x:f>"38"</x:f>
        <x:v>38</x:v>
      </x:c>
      <x:c r="B143" s="38" t="str">
        <x:f>"3"</x:f>
        <x:v>3</x:v>
      </x:c>
      <x:c r="C143" s="38" t="str">
        <x:v>LAURENILCE ANDRADE FAQUINETE</x:v>
      </x:c>
      <x:c r="D143" s="38" t="str">
        <x:f>"18471317869"</x:f>
        <x:v>18471317869</x:v>
      </x:c>
      <x:c r="E143" s="38" t="str">
        <x:f>"11987883446"</x:f>
        <x:v>11987883446</x:v>
      </x:c>
      <x:c r="F143" s="38" t="str">
        <x:v>wesley.faquinete@outlook.com</x:v>
      </x:c>
      <x:c r="G143" s="39" t="n">
        <x:v>46152</x:v>
      </x:c>
      <x:c r="H143" s="16" t="str">
        <x:v>05/2026</x:v>
      </x:c>
      <x:c r="I143" s="40" t="n">
        <x:v>431.8</x:v>
      </x:c>
      <x:c r="J143" s="40" t="n">
        <x:v>453.25</x:v>
      </x:c>
      <x:c r="K143" s="16" t="str">
        <x:v>Novo</x:v>
      </x:c>
      <x:c r="L143" s="16" t="str">
        <x:v>Em aberto</x:v>
      </x:c>
      <x:c r="M143" s="16" t="str">
        <x:v>46fb330a-589e-44c3-b279-1ab1a9384494</x:v>
      </x:c>
      <x:c r="N143" s="41" t="str"/>
    </x:row>
    <x:row r="144">
      <x:c r="A144" s="37" t="str">
        <x:f>"38"</x:f>
        <x:v>38</x:v>
      </x:c>
      <x:c r="B144" s="38" t="str">
        <x:f>"3"</x:f>
        <x:v>3</x:v>
      </x:c>
      <x:c r="C144" s="38" t="str">
        <x:v>LAURENILCE ANDRADE FAQUINETE</x:v>
      </x:c>
      <x:c r="D144" s="38" t="str">
        <x:f>"18471317869"</x:f>
        <x:v>18471317869</x:v>
      </x:c>
      <x:c r="E144" s="38" t="str">
        <x:f>"11987883446"</x:f>
        <x:v>11987883446</x:v>
      </x:c>
      <x:c r="F144" s="38" t="str">
        <x:v>wesley.faquinete@outlook.com</x:v>
      </x:c>
      <x:c r="G144" s="39" t="n">
        <x:v>46183</x:v>
      </x:c>
      <x:c r="H144" s="16" t="str">
        <x:v>06/2026</x:v>
      </x:c>
      <x:c r="I144" s="40" t="n">
        <x:v>454.4</x:v>
      </x:c>
      <x:c r="J144" s="40" t="n">
        <x:v>468.12</x:v>
      </x:c>
      <x:c r="K144" s="16" t="str">
        <x:v>Novo</x:v>
      </x:c>
      <x:c r="L144" s="16" t="str">
        <x:v>Em aberto</x:v>
      </x:c>
      <x:c r="M144" s="16" t="str">
        <x:v>84e6dece-3b94-47ee-9204-50042520e4f3</x:v>
      </x:c>
      <x:c r="N144" s="41" t="str"/>
    </x:row>
    <x:row r="145">
      <x:c r="A145" s="37" t="str">
        <x:f>"42"</x:f>
        <x:v>42</x:v>
      </x:c>
      <x:c r="B145" s="38" t="str">
        <x:f>"2"</x:f>
        <x:v>2</x:v>
      </x:c>
      <x:c r="C145" s="38" t="str">
        <x:v>VITOR HUMBERTO LOURENCETTI</x:v>
      </x:c>
      <x:c r="D145" s="38" t="str">
        <x:f>"31658250842"</x:f>
        <x:v>31658250842</x:v>
      </x:c>
      <x:c r="E145" s="38" t="str">
        <x:f>"11983065109"</x:f>
        <x:v>11983065109</x:v>
      </x:c>
      <x:c r="F145" s="38" t="str">
        <x:v>vh_lourencetti@hotmail.com</x:v>
      </x:c>
      <x:c r="G145" s="39" t="n">
        <x:v>46063</x:v>
      </x:c>
      <x:c r="H145" s="16" t="str">
        <x:v>02/2026</x:v>
      </x:c>
      <x:c r="I145" s="40" t="n">
        <x:v>426.2</x:v>
      </x:c>
      <x:c r="J145" s="40" t="n">
        <x:v>467.36</x:v>
      </x:c>
      <x:c r="K145" s="16" t="str">
        <x:v>Novo</x:v>
      </x:c>
      <x:c r="L145" s="16" t="str">
        <x:v>Em aberto</x:v>
      </x:c>
      <x:c r="M145" s="16" t="str">
        <x:v>b77869e4-c903-4126-8d32-5ab65a9376cf</x:v>
      </x:c>
      <x:c r="N145" s="41" t="str"/>
    </x:row>
    <x:row r="146">
      <x:c r="A146" s="37" t="str">
        <x:f>"42"</x:f>
        <x:v>42</x:v>
      </x:c>
      <x:c r="B146" s="38" t="str">
        <x:f>"5"</x:f>
        <x:v>5</x:v>
      </x:c>
      <x:c r="C146" s="38" t="str">
        <x:v>JULIO CEZAR TORRES DE SÁ ANUNCIAÇÃO</x:v>
      </x:c>
      <x:c r="D146" s="38" t="str">
        <x:f>"85919767545"</x:f>
        <x:v>85919767545</x:v>
      </x:c>
      <x:c r="E146" s="38" t="str">
        <x:f>"11984160236"</x:f>
        <x:v>11984160236</x:v>
      </x:c>
      <x:c r="F146" s="38" t="str">
        <x:v>julio.kinhaguy@hotmail.com</x:v>
      </x:c>
      <x:c r="G146" s="39" t="n">
        <x:v>46063</x:v>
      </x:c>
      <x:c r="H146" s="16" t="str">
        <x:v>02/2026</x:v>
      </x:c>
      <x:c r="I146" s="40" t="n">
        <x:v>426.2</x:v>
      </x:c>
      <x:c r="J146" s="40" t="n">
        <x:v>467.36</x:v>
      </x:c>
      <x:c r="K146" s="16" t="str">
        <x:v>Novo</x:v>
      </x:c>
      <x:c r="L146" s="16" t="str">
        <x:v>Em aberto</x:v>
      </x:c>
      <x:c r="M146" s="16" t="str">
        <x:v>5f2d4a90-e738-4e76-a4ac-04c1e0244c20</x:v>
      </x:c>
      <x:c r="N146" s="41" t="str"/>
    </x:row>
    <x:row r="147">
      <x:c r="A147" s="37" t="str">
        <x:f>"42"</x:f>
        <x:v>42</x:v>
      </x:c>
      <x:c r="B147" s="38" t="str">
        <x:f>"2"</x:f>
        <x:v>2</x:v>
      </x:c>
      <x:c r="C147" s="38" t="str">
        <x:v>VITOR HUMBERTO LOURENCETTI</x:v>
      </x:c>
      <x:c r="D147" s="38" t="str">
        <x:f>"31658250842"</x:f>
        <x:v>31658250842</x:v>
      </x:c>
      <x:c r="E147" s="38" t="str">
        <x:f>"11983065109"</x:f>
        <x:v>11983065109</x:v>
      </x:c>
      <x:c r="F147" s="38" t="str">
        <x:v>vh_lourencetti@hotmail.com</x:v>
      </x:c>
      <x:c r="G147" s="39" t="n">
        <x:v>46091</x:v>
      </x:c>
      <x:c r="H147" s="16" t="str">
        <x:v>03/2026</x:v>
      </x:c>
      <x:c r="I147" s="40" t="n">
        <x:v>431.37</x:v>
      </x:c>
      <x:c r="J147" s="40" t="n">
        <x:v>467.6</x:v>
      </x:c>
      <x:c r="K147" s="16" t="str">
        <x:v>Novo</x:v>
      </x:c>
      <x:c r="L147" s="16" t="str">
        <x:v>Em aberto</x:v>
      </x:c>
      <x:c r="M147" s="16" t="str">
        <x:v>88d8086a-7d78-43f0-bfcd-f8f1ba5850af</x:v>
      </x:c>
      <x:c r="N147" s="41" t="str"/>
    </x:row>
    <x:row r="148">
      <x:c r="A148" s="37" t="str">
        <x:f>"42"</x:f>
        <x:v>42</x:v>
      </x:c>
      <x:c r="B148" s="38" t="str">
        <x:f>"4"</x:f>
        <x:v>4</x:v>
      </x:c>
      <x:c r="C148" s="38" t="str">
        <x:v>LUCAS FERREIRA DIONISIO</x:v>
      </x:c>
      <x:c r="D148" s="38" t="str">
        <x:f>"34406917802"</x:f>
        <x:v>34406917802</x:v>
      </x:c>
      <x:c r="E148" s="38" t="str">
        <x:f>"11996630080"</x:f>
        <x:v>11996630080</x:v>
      </x:c>
      <x:c r="F148" s="38" t="str">
        <x:v>lucasdionisio517@hotmail.com</x:v>
      </x:c>
      <x:c r="G148" s="39" t="n">
        <x:v>46091</x:v>
      </x:c>
      <x:c r="H148" s="16" t="str">
        <x:v>03/2026</x:v>
      </x:c>
      <x:c r="I148" s="40" t="n">
        <x:v>431.37</x:v>
      </x:c>
      <x:c r="J148" s="40" t="n">
        <x:v>467.6</x:v>
      </x:c>
      <x:c r="K148" s="16" t="str">
        <x:v>Novo</x:v>
      </x:c>
      <x:c r="L148" s="16" t="str">
        <x:v>Em aberto</x:v>
      </x:c>
      <x:c r="M148" s="16" t="str">
        <x:v>aca62fb2-7554-4137-bd19-9e80744b486b</x:v>
      </x:c>
      <x:c r="N148" s="41" t="str"/>
    </x:row>
    <x:row r="149">
      <x:c r="A149" s="37" t="str">
        <x:f>"42"</x:f>
        <x:v>42</x:v>
      </x:c>
      <x:c r="B149" s="38" t="str">
        <x:f>"5"</x:f>
        <x:v>5</x:v>
      </x:c>
      <x:c r="C149" s="38" t="str">
        <x:v>JULIO CEZAR TORRES DE SÁ ANUNCIAÇÃO</x:v>
      </x:c>
      <x:c r="D149" s="38" t="str">
        <x:f>"85919767545"</x:f>
        <x:v>85919767545</x:v>
      </x:c>
      <x:c r="E149" s="38" t="str">
        <x:f>"11984160236"</x:f>
        <x:v>11984160236</x:v>
      </x:c>
      <x:c r="F149" s="38" t="str">
        <x:v>julio.kinhaguy@hotmail.com</x:v>
      </x:c>
      <x:c r="G149" s="39" t="n">
        <x:v>46091</x:v>
      </x:c>
      <x:c r="H149" s="16" t="str">
        <x:v>03/2026</x:v>
      </x:c>
      <x:c r="I149" s="40" t="n">
        <x:v>431.37</x:v>
      </x:c>
      <x:c r="J149" s="40" t="n">
        <x:v>467.6</x:v>
      </x:c>
      <x:c r="K149" s="16" t="str">
        <x:v>Novo</x:v>
      </x:c>
      <x:c r="L149" s="16" t="str">
        <x:v>Em aberto</x:v>
      </x:c>
      <x:c r="M149" s="16" t="str">
        <x:v>4f8c00b7-688f-476a-a042-87b2d5c7bb12</x:v>
      </x:c>
      <x:c r="N149" s="41" t="str"/>
    </x:row>
    <x:row r="150">
      <x:c r="A150" s="37" t="str">
        <x:f>"42"</x:f>
        <x:v>42</x:v>
      </x:c>
      <x:c r="B150" s="38" t="str">
        <x:f>"2"</x:f>
        <x:v>2</x:v>
      </x:c>
      <x:c r="C150" s="38" t="str">
        <x:v>VITOR HUMBERTO LOURENCETTI</x:v>
      </x:c>
      <x:c r="D150" s="38" t="str">
        <x:f>"31658250842"</x:f>
        <x:v>31658250842</x:v>
      </x:c>
      <x:c r="E150" s="38" t="str">
        <x:f>"11983065109"</x:f>
        <x:v>11983065109</x:v>
      </x:c>
      <x:c r="F150" s="38" t="str">
        <x:v>vh_lourencetti@hotmail.com</x:v>
      </x:c>
      <x:c r="G150" s="39" t="n">
        <x:v>46125</x:v>
      </x:c>
      <x:c r="H150" s="16" t="str">
        <x:v>04/2026</x:v>
      </x:c>
      <x:c r="I150" s="40" t="n">
        <x:v>432.83</x:v>
      </x:c>
      <x:c r="J150" s="40" t="n">
        <x:v>460.8</x:v>
      </x:c>
      <x:c r="K150" s="16" t="str">
        <x:v>Novo</x:v>
      </x:c>
      <x:c r="L150" s="16" t="str">
        <x:v>Em aberto</x:v>
      </x:c>
      <x:c r="M150" s="16" t="str">
        <x:v>5558e6d5-9d95-45db-932c-6996d63386ab</x:v>
      </x:c>
      <x:c r="N150" s="41" t="str"/>
    </x:row>
    <x:row r="151">
      <x:c r="A151" s="37" t="str">
        <x:f>"42"</x:f>
        <x:v>42</x:v>
      </x:c>
      <x:c r="B151" s="38" t="str">
        <x:f>"4"</x:f>
        <x:v>4</x:v>
      </x:c>
      <x:c r="C151" s="38" t="str">
        <x:v>LUCAS FERREIRA DIONISIO</x:v>
      </x:c>
      <x:c r="D151" s="38" t="str">
        <x:f>"34406917802"</x:f>
        <x:v>34406917802</x:v>
      </x:c>
      <x:c r="E151" s="38" t="str">
        <x:f>"11996630080"</x:f>
        <x:v>11996630080</x:v>
      </x:c>
      <x:c r="F151" s="38" t="str">
        <x:v>lucasdionisio517@hotmail.com</x:v>
      </x:c>
      <x:c r="G151" s="39" t="n">
        <x:v>46125</x:v>
      </x:c>
      <x:c r="H151" s="16" t="str">
        <x:v>04/2026</x:v>
      </x:c>
      <x:c r="I151" s="40" t="n">
        <x:v>432.83</x:v>
      </x:c>
      <x:c r="J151" s="40" t="n">
        <x:v>460.8</x:v>
      </x:c>
      <x:c r="K151" s="16" t="str">
        <x:v>Novo</x:v>
      </x:c>
      <x:c r="L151" s="16" t="str">
        <x:v>Em aberto</x:v>
      </x:c>
      <x:c r="M151" s="16" t="str">
        <x:v>bd65ca6f-54a4-4c3e-8dca-a5536327dcec</x:v>
      </x:c>
      <x:c r="N151" s="41" t="str"/>
    </x:row>
    <x:row r="152">
      <x:c r="A152" s="37" t="str">
        <x:f>"42"</x:f>
        <x:v>42</x:v>
      </x:c>
      <x:c r="B152" s="38" t="str">
        <x:f>"5"</x:f>
        <x:v>5</x:v>
      </x:c>
      <x:c r="C152" s="38" t="str">
        <x:v>JULIO CEZAR TORRES DE SÁ ANUNCIAÇÃO</x:v>
      </x:c>
      <x:c r="D152" s="38" t="str">
        <x:f>"85919767545"</x:f>
        <x:v>85919767545</x:v>
      </x:c>
      <x:c r="E152" s="38" t="str">
        <x:f>"11984160236"</x:f>
        <x:v>11984160236</x:v>
      </x:c>
      <x:c r="F152" s="38" t="str">
        <x:v>julio.kinhaguy@hotmail.com</x:v>
      </x:c>
      <x:c r="G152" s="39" t="n">
        <x:v>46125</x:v>
      </x:c>
      <x:c r="H152" s="16" t="str">
        <x:v>04/2026</x:v>
      </x:c>
      <x:c r="I152" s="40" t="n">
        <x:v>432.83</x:v>
      </x:c>
      <x:c r="J152" s="40" t="n">
        <x:v>460.8</x:v>
      </x:c>
      <x:c r="K152" s="16" t="str">
        <x:v>Novo</x:v>
      </x:c>
      <x:c r="L152" s="16" t="str">
        <x:v>Em aberto</x:v>
      </x:c>
      <x:c r="M152" s="16" t="str">
        <x:v>936331f0-076e-467e-86f7-5e95a3906398</x:v>
      </x:c>
      <x:c r="N152" s="41" t="str"/>
    </x:row>
    <x:row r="153">
      <x:c r="A153" s="37" t="str">
        <x:f>"42"</x:f>
        <x:v>42</x:v>
      </x:c>
      <x:c r="B153" s="38" t="str">
        <x:f>"2"</x:f>
        <x:v>2</x:v>
      </x:c>
      <x:c r="C153" s="38" t="str">
        <x:v>VITOR HUMBERTO LOURENCETTI</x:v>
      </x:c>
      <x:c r="D153" s="38" t="str">
        <x:f>"31658250842"</x:f>
        <x:v>31658250842</x:v>
      </x:c>
      <x:c r="E153" s="38" t="str">
        <x:f>"11983065109"</x:f>
        <x:v>11983065109</x:v>
      </x:c>
      <x:c r="F153" s="38" t="str">
        <x:v>vh_lourencetti@hotmail.com</x:v>
      </x:c>
      <x:c r="G153" s="39" t="n">
        <x:v>46152</x:v>
      </x:c>
      <x:c r="H153" s="16" t="str">
        <x:v>05/2026</x:v>
      </x:c>
      <x:c r="I153" s="40" t="n">
        <x:v>417.87</x:v>
      </x:c>
      <x:c r="J153" s="40" t="n">
        <x:v>438.62</x:v>
      </x:c>
      <x:c r="K153" s="16" t="str">
        <x:v>Novo</x:v>
      </x:c>
      <x:c r="L153" s="16" t="str">
        <x:v>Em aberto</x:v>
      </x:c>
      <x:c r="M153" s="16" t="str">
        <x:v>ab6b0c58-7a61-483d-9b52-339c5cf4efab</x:v>
      </x:c>
      <x:c r="N153" s="41" t="str"/>
    </x:row>
    <x:row r="154">
      <x:c r="A154" s="37" t="str">
        <x:f>"42"</x:f>
        <x:v>42</x:v>
      </x:c>
      <x:c r="B154" s="38" t="str">
        <x:f>"4"</x:f>
        <x:v>4</x:v>
      </x:c>
      <x:c r="C154" s="38" t="str">
        <x:v>LUCAS FERREIRA DIONISIO</x:v>
      </x:c>
      <x:c r="D154" s="38" t="str">
        <x:f>"34406917802"</x:f>
        <x:v>34406917802</x:v>
      </x:c>
      <x:c r="E154" s="38" t="str">
        <x:f>"11996630080"</x:f>
        <x:v>11996630080</x:v>
      </x:c>
      <x:c r="F154" s="38" t="str">
        <x:v>lucasdionisio517@hotmail.com</x:v>
      </x:c>
      <x:c r="G154" s="39" t="n">
        <x:v>46152</x:v>
      </x:c>
      <x:c r="H154" s="16" t="str">
        <x:v>05/2026</x:v>
      </x:c>
      <x:c r="I154" s="40" t="n">
        <x:v>417.87</x:v>
      </x:c>
      <x:c r="J154" s="40" t="n">
        <x:v>438.62</x:v>
      </x:c>
      <x:c r="K154" s="16" t="str">
        <x:v>Novo</x:v>
      </x:c>
      <x:c r="L154" s="16" t="str">
        <x:v>Em aberto</x:v>
      </x:c>
      <x:c r="M154" s="16" t="str">
        <x:v>a56ee8a5-c40f-461a-b642-c2ac34f9fc96</x:v>
      </x:c>
      <x:c r="N154" s="41" t="str"/>
    </x:row>
    <x:row r="155">
      <x:c r="A155" s="37" t="str">
        <x:f>"42"</x:f>
        <x:v>42</x:v>
      </x:c>
      <x:c r="B155" s="38" t="str">
        <x:f>"5"</x:f>
        <x:v>5</x:v>
      </x:c>
      <x:c r="C155" s="38" t="str">
        <x:v>JULIO CEZAR TORRES DE SÁ ANUNCIAÇÃO</x:v>
      </x:c>
      <x:c r="D155" s="38" t="str">
        <x:f>"85919767545"</x:f>
        <x:v>85919767545</x:v>
      </x:c>
      <x:c r="E155" s="38" t="str">
        <x:f>"11984160236"</x:f>
        <x:v>11984160236</x:v>
      </x:c>
      <x:c r="F155" s="38" t="str">
        <x:v>julio.kinhaguy@hotmail.com</x:v>
      </x:c>
      <x:c r="G155" s="39" t="n">
        <x:v>46152</x:v>
      </x:c>
      <x:c r="H155" s="16" t="str">
        <x:v>05/2026</x:v>
      </x:c>
      <x:c r="I155" s="40" t="n">
        <x:v>417.87</x:v>
      </x:c>
      <x:c r="J155" s="40" t="n">
        <x:v>438.62</x:v>
      </x:c>
      <x:c r="K155" s="16" t="str">
        <x:v>Novo</x:v>
      </x:c>
      <x:c r="L155" s="16" t="str">
        <x:v>Em aberto</x:v>
      </x:c>
      <x:c r="M155" s="16" t="str">
        <x:v>dc3a9999-49aa-48c7-8a19-1f33013a48f5</x:v>
      </x:c>
      <x:c r="N155" s="41" t="str"/>
    </x:row>
    <x:row r="156">
      <x:c r="A156" s="37" t="str">
        <x:f>"42"</x:f>
        <x:v>42</x:v>
      </x:c>
      <x:c r="B156" s="38" t="str">
        <x:f>"2"</x:f>
        <x:v>2</x:v>
      </x:c>
      <x:c r="C156" s="38" t="str">
        <x:v>VITOR HUMBERTO LOURENCETTI</x:v>
      </x:c>
      <x:c r="D156" s="38" t="str">
        <x:f>"31658250842"</x:f>
        <x:v>31658250842</x:v>
      </x:c>
      <x:c r="E156" s="38" t="str">
        <x:f>"11983065109"</x:f>
        <x:v>11983065109</x:v>
      </x:c>
      <x:c r="F156" s="38" t="str">
        <x:v>vh_lourencetti@hotmail.com</x:v>
      </x:c>
      <x:c r="G156" s="39" t="n">
        <x:v>46183</x:v>
      </x:c>
      <x:c r="H156" s="16" t="str">
        <x:v>06/2026</x:v>
      </x:c>
      <x:c r="I156" s="40" t="n">
        <x:v>439.74</x:v>
      </x:c>
      <x:c r="J156" s="40" t="n">
        <x:v>453.02</x:v>
      </x:c>
      <x:c r="K156" s="16" t="str">
        <x:v>Novo</x:v>
      </x:c>
      <x:c r="L156" s="16" t="str">
        <x:v>Em aberto</x:v>
      </x:c>
      <x:c r="M156" s="16" t="str">
        <x:v>4a360c18-cb30-4c9c-884b-e55c3b7e2f13</x:v>
      </x:c>
      <x:c r="N156" s="41" t="str"/>
    </x:row>
    <x:row r="157">
      <x:c r="A157" s="37" t="str">
        <x:f>"42"</x:f>
        <x:v>42</x:v>
      </x:c>
      <x:c r="B157" s="38" t="str">
        <x:f>"4"</x:f>
        <x:v>4</x:v>
      </x:c>
      <x:c r="C157" s="38" t="str">
        <x:v>LUCAS FERREIRA DIONISIO</x:v>
      </x:c>
      <x:c r="D157" s="38" t="str">
        <x:f>"34406917802"</x:f>
        <x:v>34406917802</x:v>
      </x:c>
      <x:c r="E157" s="38" t="str">
        <x:f>"11996630080"</x:f>
        <x:v>11996630080</x:v>
      </x:c>
      <x:c r="F157" s="38" t="str">
        <x:v>lucasdionisio517@hotmail.com</x:v>
      </x:c>
      <x:c r="G157" s="39" t="n">
        <x:v>46183</x:v>
      </x:c>
      <x:c r="H157" s="16" t="str">
        <x:v>06/2026</x:v>
      </x:c>
      <x:c r="I157" s="40" t="n">
        <x:v>439.74</x:v>
      </x:c>
      <x:c r="J157" s="40" t="n">
        <x:v>453.02</x:v>
      </x:c>
      <x:c r="K157" s="16" t="str">
        <x:v>Novo</x:v>
      </x:c>
      <x:c r="L157" s="16" t="str">
        <x:v>Em aberto</x:v>
      </x:c>
      <x:c r="M157" s="16" t="str">
        <x:v>d4801be3-7ce8-487e-9c12-2feffa909c60</x:v>
      </x:c>
      <x:c r="N157" s="41" t="str"/>
    </x:row>
    <x:row r="158">
      <x:c r="A158" s="37" t="str">
        <x:f>"42"</x:f>
        <x:v>42</x:v>
      </x:c>
      <x:c r="B158" s="38" t="str">
        <x:f>"5"</x:f>
        <x:v>5</x:v>
      </x:c>
      <x:c r="C158" s="38" t="str">
        <x:v>JULIO CEZAR TORRES DE SÁ ANUNCIAÇÃO</x:v>
      </x:c>
      <x:c r="D158" s="38" t="str">
        <x:f>"85919767545"</x:f>
        <x:v>85919767545</x:v>
      </x:c>
      <x:c r="E158" s="38" t="str">
        <x:f>"11984160236"</x:f>
        <x:v>11984160236</x:v>
      </x:c>
      <x:c r="F158" s="38" t="str">
        <x:v>julio.kinhaguy@hotmail.com</x:v>
      </x:c>
      <x:c r="G158" s="39" t="n">
        <x:v>46183</x:v>
      </x:c>
      <x:c r="H158" s="16" t="str">
        <x:v>06/2026</x:v>
      </x:c>
      <x:c r="I158" s="40" t="n">
        <x:v>439.74</x:v>
      </x:c>
      <x:c r="J158" s="40" t="n">
        <x:v>453.02</x:v>
      </x:c>
      <x:c r="K158" s="16" t="str">
        <x:v>Novo</x:v>
      </x:c>
      <x:c r="L158" s="16" t="str">
        <x:v>Em aberto</x:v>
      </x:c>
      <x:c r="M158" s="16" t="str">
        <x:v>a3d3d635-7f2b-4078-b9cb-05e2b3f7700e</x:v>
      </x:c>
      <x:c r="N158" s="41" t="str"/>
    </x:row>
    <x:row r="159">
      <x:c r="A159" s="37" t="str">
        <x:f>"43"</x:f>
        <x:v>43</x:v>
      </x:c>
      <x:c r="B159" s="38" t="str">
        <x:f>"4"</x:f>
        <x:v>4</x:v>
      </x:c>
      <x:c r="C159" s="38" t="str">
        <x:v>LUCIMAR DE JESUS SILVA</x:v>
      </x:c>
      <x:c r="D159" s="38" t="str">
        <x:f>"32845884850"</x:f>
        <x:v>32845884850</x:v>
      </x:c>
      <x:c r="E159" s="38" t="str">
        <x:f>"11982848269"</x:f>
        <x:v>11982848269</x:v>
      </x:c>
      <x:c r="F159" s="38" t="str">
        <x:v>yngriid_0708@hotmail.com</x:v>
      </x:c>
      <x:c r="G159" s="39" t="n">
        <x:v>46152</x:v>
      </x:c>
      <x:c r="H159" s="16" t="str">
        <x:v>05/2026</x:v>
      </x:c>
      <x:c r="I159" s="40" t="n">
        <x:v>417.87</x:v>
      </x:c>
      <x:c r="J159" s="40" t="n">
        <x:v>438.62</x:v>
      </x:c>
      <x:c r="K159" s="16" t="str">
        <x:v>Novo</x:v>
      </x:c>
      <x:c r="L159" s="16" t="str">
        <x:v>Em aberto</x:v>
      </x:c>
      <x:c r="M159" s="16" t="str">
        <x:v>b3b436e4-7d8d-4338-bfeb-f54378cb2877</x:v>
      </x:c>
      <x:c r="N159" s="41" t="str"/>
    </x:row>
    <x:row r="160">
      <x:c r="A160" s="37" t="str">
        <x:f>"43"</x:f>
        <x:v>43</x:v>
      </x:c>
      <x:c r="B160" s="38" t="str">
        <x:f>"2"</x:f>
        <x:v>2</x:v>
      </x:c>
      <x:c r="C160" s="38" t="str">
        <x:v>MARCELO OLIVEIRA SANTOS</x:v>
      </x:c>
      <x:c r="D160" s="38" t="str">
        <x:f>"07479213506"</x:f>
        <x:v>07479213506</x:v>
      </x:c>
      <x:c r="E160" s="38" t="str">
        <x:f>"11953711189"</x:f>
        <x:v>11953711189</x:v>
      </x:c>
      <x:c r="F160" s="38" t="str">
        <x:v>marccellooliversanttos@gmail.com</x:v>
      </x:c>
      <x:c r="G160" s="39" t="n">
        <x:v>46152</x:v>
      </x:c>
      <x:c r="H160" s="16" t="str">
        <x:v>05/2026</x:v>
      </x:c>
      <x:c r="I160" s="40" t="n">
        <x:v>417.87</x:v>
      </x:c>
      <x:c r="J160" s="40" t="n">
        <x:v>438.62</x:v>
      </x:c>
      <x:c r="K160" s="16" t="str">
        <x:v>Novo</x:v>
      </x:c>
      <x:c r="L160" s="16" t="str">
        <x:v>Em aberto</x:v>
      </x:c>
      <x:c r="M160" s="16" t="str">
        <x:v>6aca206d-aa54-478e-acb4-db7b313b6453</x:v>
      </x:c>
      <x:c r="N160" s="41" t="str"/>
    </x:row>
    <x:row r="161">
      <x:c r="A161" s="37" t="str">
        <x:f>"43"</x:f>
        <x:v>43</x:v>
      </x:c>
      <x:c r="B161" s="38" t="str">
        <x:f>"4"</x:f>
        <x:v>4</x:v>
      </x:c>
      <x:c r="C161" s="38" t="str">
        <x:v>LUCIMAR DE JESUS SILVA</x:v>
      </x:c>
      <x:c r="D161" s="38" t="str">
        <x:f>"32845884850"</x:f>
        <x:v>32845884850</x:v>
      </x:c>
      <x:c r="E161" s="38" t="str">
        <x:f>"11982848269"</x:f>
        <x:v>11982848269</x:v>
      </x:c>
      <x:c r="F161" s="38" t="str">
        <x:v>yngriid_0708@hotmail.com</x:v>
      </x:c>
      <x:c r="G161" s="39" t="n">
        <x:v>46183</x:v>
      </x:c>
      <x:c r="H161" s="16" t="str">
        <x:v>06/2026</x:v>
      </x:c>
      <x:c r="I161" s="40" t="n">
        <x:v>439.74</x:v>
      </x:c>
      <x:c r="J161" s="40" t="n">
        <x:v>453.02</x:v>
      </x:c>
      <x:c r="K161" s="16" t="str">
        <x:v>Novo</x:v>
      </x:c>
      <x:c r="L161" s="16" t="str">
        <x:v>Em aberto</x:v>
      </x:c>
      <x:c r="M161" s="16" t="str">
        <x:v>0365f545-2340-44e6-8fb3-557e961991c1</x:v>
      </x:c>
      <x:c r="N161" s="41" t="str"/>
    </x:row>
    <x:row r="162">
      <x:c r="A162" s="37" t="str">
        <x:f>"43"</x:f>
        <x:v>43</x:v>
      </x:c>
      <x:c r="B162" s="38" t="str">
        <x:f>"2"</x:f>
        <x:v>2</x:v>
      </x:c>
      <x:c r="C162" s="38" t="str">
        <x:v>MARCELO OLIVEIRA SANTOS</x:v>
      </x:c>
      <x:c r="D162" s="38" t="str">
        <x:f>"07479213506"</x:f>
        <x:v>07479213506</x:v>
      </x:c>
      <x:c r="E162" s="38" t="str">
        <x:f>"11953711189"</x:f>
        <x:v>11953711189</x:v>
      </x:c>
      <x:c r="F162" s="38" t="str">
        <x:v>marccellooliversanttos@gmail.com</x:v>
      </x:c>
      <x:c r="G162" s="39" t="n">
        <x:v>46183</x:v>
      </x:c>
      <x:c r="H162" s="16" t="str">
        <x:v>06/2026</x:v>
      </x:c>
      <x:c r="I162" s="40" t="n">
        <x:v>439.74</x:v>
      </x:c>
      <x:c r="J162" s="40" t="n">
        <x:v>453.02</x:v>
      </x:c>
      <x:c r="K162" s="16" t="str">
        <x:v>Novo</x:v>
      </x:c>
      <x:c r="L162" s="16" t="str">
        <x:v>Em aberto</x:v>
      </x:c>
      <x:c r="M162" s="16" t="str">
        <x:v>25ef919f-ab65-4191-858b-a79524146912</x:v>
      </x:c>
      <x:c r="N162" s="41" t="str"/>
    </x:row>
    <x:row r="163">
      <x:c r="A163" s="37" t="str">
        <x:f>"45"</x:f>
        <x:v>45</x:v>
      </x:c>
      <x:c r="B163" s="38" t="str">
        <x:f>"3"</x:f>
        <x:v>3</x:v>
      </x:c>
      <x:c r="C163" s="38" t="str">
        <x:v>CLAUDIA GONÇALVES DOS SANTOS</x:v>
      </x:c>
      <x:c r="D163" s="38" t="str">
        <x:f>"14336935858"</x:f>
        <x:v>14336935858</x:v>
      </x:c>
      <x:c r="E163" s="38" t="str">
        <x:f>"11947000308"</x:f>
        <x:v>11947000308</x:v>
      </x:c>
      <x:c r="F163" s="38" t="str">
        <x:v>clausantos100@yahoo.com</x:v>
      </x:c>
      <x:c r="G163" s="39" t="n">
        <x:v>46063</x:v>
      </x:c>
      <x:c r="H163" s="16" t="str">
        <x:v>02/2026</x:v>
      </x:c>
      <x:c r="I163" s="40" t="n">
        <x:v>440.4</x:v>
      </x:c>
      <x:c r="J163" s="40" t="n">
        <x:v>482.94</x:v>
      </x:c>
      <x:c r="K163" s="16" t="str">
        <x:v>Novo</x:v>
      </x:c>
      <x:c r="L163" s="16" t="str">
        <x:v>Em aberto</x:v>
      </x:c>
      <x:c r="M163" s="16" t="str">
        <x:v>6ac22862-566f-430d-a2c3-9cc2de03eef1</x:v>
      </x:c>
      <x:c r="N163" s="41" t="str"/>
    </x:row>
    <x:row r="164">
      <x:c r="A164" s="37" t="str">
        <x:f>"45"</x:f>
        <x:v>45</x:v>
      </x:c>
      <x:c r="B164" s="38" t="str">
        <x:f>"3"</x:f>
        <x:v>3</x:v>
      </x:c>
      <x:c r="C164" s="38" t="str">
        <x:v>CLAUDIA GONÇALVES DOS SANTOS</x:v>
      </x:c>
      <x:c r="D164" s="38" t="str">
        <x:f>"14336935858"</x:f>
        <x:v>14336935858</x:v>
      </x:c>
      <x:c r="E164" s="38" t="str">
        <x:f>"11947000308"</x:f>
        <x:v>11947000308</x:v>
      </x:c>
      <x:c r="F164" s="38" t="str">
        <x:v>clausantos100@yahoo.com</x:v>
      </x:c>
      <x:c r="G164" s="39" t="n">
        <x:v>46125</x:v>
      </x:c>
      <x:c r="H164" s="16" t="str">
        <x:v>04/2026</x:v>
      </x:c>
      <x:c r="I164" s="40" t="n">
        <x:v>447.25</x:v>
      </x:c>
      <x:c r="J164" s="40" t="n">
        <x:v>476.15</x:v>
      </x:c>
      <x:c r="K164" s="16" t="str">
        <x:v>Novo</x:v>
      </x:c>
      <x:c r="L164" s="16" t="str">
        <x:v>Em aberto</x:v>
      </x:c>
      <x:c r="M164" s="16" t="str">
        <x:v>535df505-4597-4b6e-93ab-e5712bfb4092</x:v>
      </x:c>
      <x:c r="N164" s="41" t="str"/>
    </x:row>
    <x:row r="165">
      <x:c r="A165" s="37" t="str">
        <x:f>"45"</x:f>
        <x:v>45</x:v>
      </x:c>
      <x:c r="B165" s="38" t="str">
        <x:f>"3"</x:f>
        <x:v>3</x:v>
      </x:c>
      <x:c r="C165" s="38" t="str">
        <x:v>CLAUDIA GONÇALVES DOS SANTOS</x:v>
      </x:c>
      <x:c r="D165" s="38" t="str">
        <x:f>"14336935858"</x:f>
        <x:v>14336935858</x:v>
      </x:c>
      <x:c r="E165" s="38" t="str">
        <x:f>"11947000308"</x:f>
        <x:v>11947000308</x:v>
      </x:c>
      <x:c r="F165" s="38" t="str">
        <x:v>clausantos100@yahoo.com</x:v>
      </x:c>
      <x:c r="G165" s="39" t="n">
        <x:v>46183</x:v>
      </x:c>
      <x:c r="H165" s="16" t="str">
        <x:v>06/2026</x:v>
      </x:c>
      <x:c r="I165" s="40" t="n">
        <x:v>454.4</x:v>
      </x:c>
      <x:c r="J165" s="40" t="n">
        <x:v>468.12</x:v>
      </x:c>
      <x:c r="K165" s="16" t="str">
        <x:v>Novo</x:v>
      </x:c>
      <x:c r="L165" s="16" t="str">
        <x:v>Em aberto</x:v>
      </x:c>
      <x:c r="M165" s="16" t="str">
        <x:v>8bea56ba-32a1-40c8-be12-c6325f6151cb</x:v>
      </x:c>
      <x:c r="N165" s="41" t="str"/>
    </x:row>
    <x:row r="166">
      <x:c r="A166" s="37" t="str">
        <x:f>"46"</x:f>
        <x:v>46</x:v>
      </x:c>
      <x:c r="B166" s="38" t="str">
        <x:f>"2"</x:f>
        <x:v>2</x:v>
      </x:c>
      <x:c r="C166" s="38" t="str">
        <x:v>BARBARA ARTNER KOWALSKI WITTLICH</x:v>
      </x:c>
      <x:c r="D166" s="38" t="str">
        <x:f>"07796403909"</x:f>
        <x:v>07796403909</x:v>
      </x:c>
      <x:c r="E166" s="38" t="str">
        <x:f>"4898659451"</x:f>
        <x:v>4898659451</x:v>
      </x:c>
      <x:c r="F166" s="38" t="str">
        <x:v>barbarasc.tiagosp@gmail.com</x:v>
      </x:c>
      <x:c r="G166" s="39" t="n">
        <x:v>46091</x:v>
      </x:c>
      <x:c r="H166" s="16" t="str">
        <x:v>03/2026</x:v>
      </x:c>
      <x:c r="I166" s="40" t="n">
        <x:v>431.37</x:v>
      </x:c>
      <x:c r="J166" s="40" t="n">
        <x:v>467.6</x:v>
      </x:c>
      <x:c r="K166" s="16" t="str">
        <x:v>Novo</x:v>
      </x:c>
      <x:c r="L166" s="16" t="str">
        <x:v>Em aberto</x:v>
      </x:c>
      <x:c r="M166" s="16" t="str">
        <x:v>0c6f40d0-ace7-4517-8112-b08474af3631</x:v>
      </x:c>
      <x:c r="N166" s="41" t="str"/>
    </x:row>
    <x:row r="167">
      <x:c r="A167" s="37" t="str">
        <x:f>"46"</x:f>
        <x:v>46</x:v>
      </x:c>
      <x:c r="B167" s="38" t="str">
        <x:f>"2"</x:f>
        <x:v>2</x:v>
      </x:c>
      <x:c r="C167" s="38" t="str">
        <x:v>BARBARA ARTNER KOWALSKI WITTLICH</x:v>
      </x:c>
      <x:c r="D167" s="38" t="str">
        <x:f>"07796403909"</x:f>
        <x:v>07796403909</x:v>
      </x:c>
      <x:c r="E167" s="38" t="str">
        <x:f>"4898659451"</x:f>
        <x:v>4898659451</x:v>
      </x:c>
      <x:c r="F167" s="38" t="str">
        <x:v>barbarasc.tiagosp@gmail.com</x:v>
      </x:c>
      <x:c r="G167" s="39" t="n">
        <x:v>46125</x:v>
      </x:c>
      <x:c r="H167" s="16" t="str">
        <x:v>04/2026</x:v>
      </x:c>
      <x:c r="I167" s="40" t="n">
        <x:v>432.83</x:v>
      </x:c>
      <x:c r="J167" s="40" t="n">
        <x:v>460.8</x:v>
      </x:c>
      <x:c r="K167" s="16" t="str">
        <x:v>Novo</x:v>
      </x:c>
      <x:c r="L167" s="16" t="str">
        <x:v>Em aberto</x:v>
      </x:c>
      <x:c r="M167" s="16" t="str">
        <x:v>4c7a5925-c298-4987-aefe-360d8e20a941</x:v>
      </x:c>
      <x:c r="N167" s="41" t="str"/>
    </x:row>
    <x:row r="168">
      <x:c r="A168" s="37" t="str">
        <x:f>"46"</x:f>
        <x:v>46</x:v>
      </x:c>
      <x:c r="B168" s="38" t="str">
        <x:f>"2"</x:f>
        <x:v>2</x:v>
      </x:c>
      <x:c r="C168" s="38" t="str">
        <x:v>BARBARA ARTNER KOWALSKI WITTLICH</x:v>
      </x:c>
      <x:c r="D168" s="38" t="str">
        <x:f>"07796403909"</x:f>
        <x:v>07796403909</x:v>
      </x:c>
      <x:c r="E168" s="38" t="str">
        <x:f>"4898659451"</x:f>
        <x:v>4898659451</x:v>
      </x:c>
      <x:c r="F168" s="38" t="str">
        <x:v>barbarasc.tiagosp@gmail.com</x:v>
      </x:c>
      <x:c r="G168" s="39" t="n">
        <x:v>46152</x:v>
      </x:c>
      <x:c r="H168" s="16" t="str">
        <x:v>05/2026</x:v>
      </x:c>
      <x:c r="I168" s="40" t="n">
        <x:v>417.87</x:v>
      </x:c>
      <x:c r="J168" s="40" t="n">
        <x:v>438.62</x:v>
      </x:c>
      <x:c r="K168" s="16" t="str">
        <x:v>Novo</x:v>
      </x:c>
      <x:c r="L168" s="16" t="str">
        <x:v>Em aberto</x:v>
      </x:c>
      <x:c r="M168" s="16" t="str">
        <x:v>5e327234-7d23-4ebb-beb1-0b80a0aec500</x:v>
      </x:c>
      <x:c r="N168" s="41" t="str"/>
    </x:row>
    <x:row r="169">
      <x:c r="A169" s="37" t="str">
        <x:f>"46"</x:f>
        <x:v>46</x:v>
      </x:c>
      <x:c r="B169" s="38" t="str">
        <x:f>"2"</x:f>
        <x:v>2</x:v>
      </x:c>
      <x:c r="C169" s="38" t="str">
        <x:v>BARBARA ARTNER KOWALSKI WITTLICH</x:v>
      </x:c>
      <x:c r="D169" s="38" t="str">
        <x:f>"07796403909"</x:f>
        <x:v>07796403909</x:v>
      </x:c>
      <x:c r="E169" s="38" t="str">
        <x:f>"4898659451"</x:f>
        <x:v>4898659451</x:v>
      </x:c>
      <x:c r="F169" s="38" t="str">
        <x:v>barbarasc.tiagosp@gmail.com</x:v>
      </x:c>
      <x:c r="G169" s="39" t="n">
        <x:v>46183</x:v>
      </x:c>
      <x:c r="H169" s="16" t="str">
        <x:v>06/2026</x:v>
      </x:c>
      <x:c r="I169" s="40" t="n">
        <x:v>439.74</x:v>
      </x:c>
      <x:c r="J169" s="40" t="n">
        <x:v>453.02</x:v>
      </x:c>
      <x:c r="K169" s="16" t="str">
        <x:v>Novo</x:v>
      </x:c>
      <x:c r="L169" s="16" t="str">
        <x:v>Em aberto</x:v>
      </x:c>
      <x:c r="M169" s="16" t="str">
        <x:v>ac60ae4c-73d6-40fe-b48f-d43fff446edf</x:v>
      </x:c>
      <x:c r="N169" s="41" t="str"/>
    </x:row>
    <x:row r="170">
      <x:c r="A170" s="37" t="str">
        <x:f>"47"</x:f>
        <x:v>47</x:v>
      </x:c>
      <x:c r="B170" s="38" t="str">
        <x:f>"2"</x:f>
        <x:v>2</x:v>
      </x:c>
      <x:c r="C170" s="38" t="str">
        <x:v>ESMERIO RODRIGO</x:v>
      </x:c>
      <x:c r="D170" s="38" t="str">
        <x:f>"32648094865"</x:f>
        <x:v>32648094865</x:v>
      </x:c>
      <x:c r="E170" s="38" t="str">
        <x:f>"11945397153"</x:f>
        <x:v>11945397153</x:v>
      </x:c>
      <x:c r="F170" s="38" t="str">
        <x:v>jesus.lilian15@gmail.com</x:v>
      </x:c>
      <x:c r="G170" s="39" t="n">
        <x:v>46063</x:v>
      </x:c>
      <x:c r="H170" s="16" t="str">
        <x:v>02/2026</x:v>
      </x:c>
      <x:c r="I170" s="40" t="n">
        <x:v>284.14</x:v>
      </x:c>
      <x:c r="J170" s="40" t="n">
        <x:v>311.59</x:v>
      </x:c>
      <x:c r="K170" s="16" t="str">
        <x:v>Novo</x:v>
      </x:c>
      <x:c r="L170" s="16" t="str">
        <x:v>Em aberto</x:v>
      </x:c>
      <x:c r="M170" s="16" t="str">
        <x:v>fdfed75b-1a9d-418c-8d8a-dd3b175c8702</x:v>
      </x:c>
      <x:c r="N170" s="41" t="str"/>
    </x:row>
    <x:row r="171">
      <x:c r="A171" s="37" t="str">
        <x:f>"47"</x:f>
        <x:v>47</x:v>
      </x:c>
      <x:c r="B171" s="38" t="str">
        <x:f>"1"</x:f>
        <x:v>1</x:v>
      </x:c>
      <x:c r="C171" s="38" t="str">
        <x:v>FERNANDA BRANDIM DE LIMA</x:v>
      </x:c>
      <x:c r="D171" s="38" t="str">
        <x:f>"41799707830"</x:f>
        <x:v>41799707830</x:v>
      </x:c>
      <x:c r="E171" s="38" t="str">
        <x:f>"11944926897"</x:f>
        <x:v>11944926897</x:v>
      </x:c>
      <x:c r="F171" s="38" t="str">
        <x:v>brandim.fernanda@gmail.com</x:v>
      </x:c>
      <x:c r="G171" s="39" t="n">
        <x:v>46125</x:v>
      </x:c>
      <x:c r="H171" s="16" t="str">
        <x:v>04/2026</x:v>
      </x:c>
      <x:c r="I171" s="40" t="n">
        <x:v>432.83</x:v>
      </x:c>
      <x:c r="J171" s="40" t="n">
        <x:v>460.8</x:v>
      </x:c>
      <x:c r="K171" s="16" t="str">
        <x:v>Novo</x:v>
      </x:c>
      <x:c r="L171" s="16" t="str">
        <x:v>Em aberto</x:v>
      </x:c>
      <x:c r="M171" s="16" t="str">
        <x:v>5650f2a1-98ca-4ca8-93e5-1ec09a962fcd</x:v>
      </x:c>
      <x:c r="N171" s="41" t="str"/>
    </x:row>
    <x:row r="172">
      <x:c r="A172" s="37" t="str">
        <x:f>"47"</x:f>
        <x:v>47</x:v>
      </x:c>
      <x:c r="B172" s="38" t="str">
        <x:f>"2"</x:f>
        <x:v>2</x:v>
      </x:c>
      <x:c r="C172" s="38" t="str">
        <x:v>ESMERIO RODRIGO</x:v>
      </x:c>
      <x:c r="D172" s="38" t="str">
        <x:f>"32648094865"</x:f>
        <x:v>32648094865</x:v>
      </x:c>
      <x:c r="E172" s="38" t="str">
        <x:f>"11945397153"</x:f>
        <x:v>11945397153</x:v>
      </x:c>
      <x:c r="F172" s="38" t="str">
        <x:v>jesus.lilian15@gmail.com</x:v>
      </x:c>
      <x:c r="G172" s="39" t="n">
        <x:v>46152</x:v>
      </x:c>
      <x:c r="H172" s="16" t="str">
        <x:v>05/2026</x:v>
      </x:c>
      <x:c r="I172" s="40" t="n">
        <x:v>417.87</x:v>
      </x:c>
      <x:c r="J172" s="40" t="n">
        <x:v>438.62</x:v>
      </x:c>
      <x:c r="K172" s="16" t="str">
        <x:v>Novo</x:v>
      </x:c>
      <x:c r="L172" s="16" t="str">
        <x:v>Em aberto</x:v>
      </x:c>
      <x:c r="M172" s="16" t="str">
        <x:v>ac4d2d49-c1a9-4a86-a41d-1510e32f1e71</x:v>
      </x:c>
      <x:c r="N172" s="41" t="str"/>
    </x:row>
    <x:row r="173">
      <x:c r="A173" s="37" t="str">
        <x:f>"47"</x:f>
        <x:v>47</x:v>
      </x:c>
      <x:c r="B173" s="38" t="str">
        <x:f>"2"</x:f>
        <x:v>2</x:v>
      </x:c>
      <x:c r="C173" s="38" t="str">
        <x:v>ESMERIO RODRIGO</x:v>
      </x:c>
      <x:c r="D173" s="38" t="str">
        <x:f>"32648094865"</x:f>
        <x:v>32648094865</x:v>
      </x:c>
      <x:c r="E173" s="38" t="str">
        <x:f>"11945397153"</x:f>
        <x:v>11945397153</x:v>
      </x:c>
      <x:c r="F173" s="38" t="str">
        <x:v>jesus.lilian15@gmail.com</x:v>
      </x:c>
      <x:c r="G173" s="39" t="n">
        <x:v>46183</x:v>
      </x:c>
      <x:c r="H173" s="16" t="str">
        <x:v>06/2026</x:v>
      </x:c>
      <x:c r="I173" s="40" t="n">
        <x:v>439.74</x:v>
      </x:c>
      <x:c r="J173" s="40" t="n">
        <x:v>453.02</x:v>
      </x:c>
      <x:c r="K173" s="16" t="str">
        <x:v>Novo</x:v>
      </x:c>
      <x:c r="L173" s="16" t="str">
        <x:v>Em aberto</x:v>
      </x:c>
      <x:c r="M173" s="16" t="str">
        <x:v>80eece40-25e5-4d48-9934-3cb6f375b8ac</x:v>
      </x:c>
      <x:c r="N173" s="41" t="str"/>
    </x:row>
    <x:row r="174">
      <x:c r="A174" s="37" t="str">
        <x:f>"48"</x:f>
        <x:v>48</x:v>
      </x:c>
      <x:c r="B174" s="38" t="str">
        <x:f>"1"</x:f>
        <x:v>1</x:v>
      </x:c>
      <x:c r="C174" s="38" t="str">
        <x:v>WALLACE VALMIR RODRIGUES</x:v>
      </x:c>
      <x:c r="D174" s="38" t="str">
        <x:f>"39834001835"</x:f>
        <x:v>39834001835</x:v>
      </x:c>
      <x:c r="E174" s="38" t="str">
        <x:f>"11965273029"</x:f>
        <x:v>11965273029</x:v>
      </x:c>
      <x:c r="F174" s="38" t="str">
        <x:v>wallacevalmir03@gmail.com</x:v>
      </x:c>
      <x:c r="G174" s="39" t="n">
        <x:v>46125</x:v>
      </x:c>
      <x:c r="H174" s="16" t="str">
        <x:v>04/2026</x:v>
      </x:c>
      <x:c r="I174" s="40" t="n">
        <x:v>447.25</x:v>
      </x:c>
      <x:c r="J174" s="40" t="n">
        <x:v>476.15</x:v>
      </x:c>
      <x:c r="K174" s="16" t="str">
        <x:v>Novo</x:v>
      </x:c>
      <x:c r="L174" s="16" t="str">
        <x:v>Em aberto</x:v>
      </x:c>
      <x:c r="M174" s="16" t="str">
        <x:v>79259b76-104d-4161-af2f-8f4e6c038d27</x:v>
      </x:c>
      <x:c r="N174" s="41" t="str"/>
    </x:row>
    <x:row r="175">
      <x:c r="A175" s="37" t="str">
        <x:f>"48"</x:f>
        <x:v>48</x:v>
      </x:c>
      <x:c r="B175" s="38" t="str">
        <x:f>"1"</x:f>
        <x:v>1</x:v>
      </x:c>
      <x:c r="C175" s="38" t="str">
        <x:v>WALLACE VALMIR RODRIGUES</x:v>
      </x:c>
      <x:c r="D175" s="38" t="str">
        <x:f>"39834001835"</x:f>
        <x:v>39834001835</x:v>
      </x:c>
      <x:c r="E175" s="38" t="str">
        <x:f>"11965273029"</x:f>
        <x:v>11965273029</x:v>
      </x:c>
      <x:c r="F175" s="38" t="str">
        <x:v>wallacevalmir03@gmail.com</x:v>
      </x:c>
      <x:c r="G175" s="39" t="n">
        <x:v>46152</x:v>
      </x:c>
      <x:c r="H175" s="16" t="str">
        <x:v>05/2026</x:v>
      </x:c>
      <x:c r="I175" s="40" t="n">
        <x:v>431.8</x:v>
      </x:c>
      <x:c r="J175" s="40" t="n">
        <x:v>453.25</x:v>
      </x:c>
      <x:c r="K175" s="16" t="str">
        <x:v>Novo</x:v>
      </x:c>
      <x:c r="L175" s="16" t="str">
        <x:v>Em aberto</x:v>
      </x:c>
      <x:c r="M175" s="16" t="str">
        <x:v>598b0c58-924f-4cc6-a7ef-74ff8bcd06f3</x:v>
      </x:c>
      <x:c r="N175" s="41" t="str"/>
    </x:row>
    <x:row r="176">
      <x:c r="A176" s="37" t="str">
        <x:f>"48"</x:f>
        <x:v>48</x:v>
      </x:c>
      <x:c r="B176" s="38" t="str">
        <x:f>"1"</x:f>
        <x:v>1</x:v>
      </x:c>
      <x:c r="C176" s="38" t="str">
        <x:v>WALLACE VALMIR RODRIGUES</x:v>
      </x:c>
      <x:c r="D176" s="38" t="str">
        <x:f>"39834001835"</x:f>
        <x:v>39834001835</x:v>
      </x:c>
      <x:c r="E176" s="38" t="str">
        <x:f>"11965273029"</x:f>
        <x:v>11965273029</x:v>
      </x:c>
      <x:c r="F176" s="38" t="str">
        <x:v>wallacevalmir03@gmail.com</x:v>
      </x:c>
      <x:c r="G176" s="39" t="n">
        <x:v>46183</x:v>
      </x:c>
      <x:c r="H176" s="16" t="str">
        <x:v>06/2026</x:v>
      </x:c>
      <x:c r="I176" s="40" t="n">
        <x:v>454.4</x:v>
      </x:c>
      <x:c r="J176" s="40" t="n">
        <x:v>468.12</x:v>
      </x:c>
      <x:c r="K176" s="16" t="str">
        <x:v>Novo</x:v>
      </x:c>
      <x:c r="L176" s="16" t="str">
        <x:v>Em aberto</x:v>
      </x:c>
      <x:c r="M176" s="16" t="str">
        <x:v>4d96029e-3553-4b46-922a-3e3b6a0c6118</x:v>
      </x:c>
      <x:c r="N176" s="41" t="str"/>
    </x:row>
    <x:row r="177">
      <x:c r="A177" s="37" t="str">
        <x:f>"48"</x:f>
        <x:v>48</x:v>
      </x:c>
      <x:c r="B177" s="38" t="str">
        <x:f>"2"</x:f>
        <x:v>2</x:v>
      </x:c>
      <x:c r="C177" s="38" t="str">
        <x:v>RAYANE CRISTINA PEREIRA DE SOUZA</x:v>
      </x:c>
      <x:c r="D177" s="38" t="str">
        <x:f>"41211355802"</x:f>
        <x:v>41211355802</x:v>
      </x:c>
      <x:c r="E177" s="38" t="str">
        <x:f>"11994626589"</x:f>
        <x:v>11994626589</x:v>
      </x:c>
      <x:c r="F177" s="38" t="str">
        <x:v>rayane_cristina_ps@hotmail.com</x:v>
      </x:c>
      <x:c r="G177" s="39" t="n">
        <x:v>46183</x:v>
      </x:c>
      <x:c r="H177" s="16" t="str">
        <x:v>06/2026</x:v>
      </x:c>
      <x:c r="I177" s="40" t="n">
        <x:v>454.4</x:v>
      </x:c>
      <x:c r="J177" s="40" t="n">
        <x:v>468.12</x:v>
      </x:c>
      <x:c r="K177" s="16" t="str">
        <x:v>Novo</x:v>
      </x:c>
      <x:c r="L177" s="16" t="str">
        <x:v>Em aberto</x:v>
      </x:c>
      <x:c r="M177" s="16" t="str">
        <x:v>be1eeb5a-bdf4-4a29-a973-40068c7b1938</x:v>
      </x:c>
      <x:c r="N177" s="41" t="str"/>
    </x:row>
    <x:row r="178">
      <x:c r="A178" s="37" t="str">
        <x:f>"51"</x:f>
        <x:v>51</x:v>
      </x:c>
      <x:c r="B178" s="38" t="str">
        <x:f>"2"</x:f>
        <x:v>2</x:v>
      </x:c>
      <x:c r="C178" s="38" t="str">
        <x:v>EVANDRO NEVES CAMPOS</x:v>
      </x:c>
      <x:c r="D178" s="38" t="str">
        <x:f>"22549545800"</x:f>
        <x:v>22549545800</x:v>
      </x:c>
      <x:c r="E178" s="38" t="str">
        <x:f>""</x:f>
      </x:c>
      <x:c r="F178" s="38" t="str">
        <x:v>grazianareissilva24@gmail.com</x:v>
      </x:c>
      <x:c r="G178" s="39" t="n">
        <x:v>46063</x:v>
      </x:c>
      <x:c r="H178" s="16" t="str">
        <x:v>02/2026</x:v>
      </x:c>
      <x:c r="I178" s="40" t="n">
        <x:v>455.83</x:v>
      </x:c>
      <x:c r="J178" s="40" t="n">
        <x:v>499.86</x:v>
      </x:c>
      <x:c r="K178" s="16" t="str">
        <x:v>Novo</x:v>
      </x:c>
      <x:c r="L178" s="16" t="str">
        <x:v>Em aberto</x:v>
      </x:c>
      <x:c r="M178" s="16" t="str">
        <x:v>455573dc-0804-4f09-a3ab-3656e372e2f0</x:v>
      </x:c>
      <x:c r="N178" s="41" t="str"/>
    </x:row>
    <x:row r="179">
      <x:c r="A179" s="37" t="str">
        <x:f>"51"</x:f>
        <x:v>51</x:v>
      </x:c>
      <x:c r="B179" s="38" t="str">
        <x:f>"2"</x:f>
        <x:v>2</x:v>
      </x:c>
      <x:c r="C179" s="38" t="str">
        <x:v>EVANDRO NEVES CAMPOS</x:v>
      </x:c>
      <x:c r="D179" s="38" t="str">
        <x:f>"22549545800"</x:f>
        <x:v>22549545800</x:v>
      </x:c>
      <x:c r="E179" s="38" t="str">
        <x:f>""</x:f>
      </x:c>
      <x:c r="F179" s="38" t="str">
        <x:v>grazianareissilva24@gmail.com</x:v>
      </x:c>
      <x:c r="G179" s="39" t="n">
        <x:v>46091</x:v>
      </x:c>
      <x:c r="H179" s="16" t="str">
        <x:v>03/2026</x:v>
      </x:c>
      <x:c r="I179" s="40" t="n">
        <x:v>461.36</x:v>
      </x:c>
      <x:c r="J179" s="40" t="n">
        <x:v>500.1</x:v>
      </x:c>
      <x:c r="K179" s="16" t="str">
        <x:v>Novo</x:v>
      </x:c>
      <x:c r="L179" s="16" t="str">
        <x:v>Em aberto</x:v>
      </x:c>
      <x:c r="M179" s="16" t="str">
        <x:v>6bda8282-4d43-400d-b5b8-d53f99516c45</x:v>
      </x:c>
      <x:c r="N179" s="41" t="str"/>
    </x:row>
    <x:row r="180">
      <x:c r="A180" s="37" t="str">
        <x:f>"51"</x:f>
        <x:v>51</x:v>
      </x:c>
      <x:c r="B180" s="38" t="str">
        <x:f>"2"</x:f>
        <x:v>2</x:v>
      </x:c>
      <x:c r="C180" s="38" t="str">
        <x:v>EVANDRO NEVES CAMPOS</x:v>
      </x:c>
      <x:c r="D180" s="38" t="str">
        <x:f>"22549545800"</x:f>
        <x:v>22549545800</x:v>
      </x:c>
      <x:c r="E180" s="38" t="str">
        <x:f>""</x:f>
      </x:c>
      <x:c r="F180" s="38" t="str">
        <x:v>grazianareissilva24@gmail.com</x:v>
      </x:c>
      <x:c r="G180" s="39" t="n">
        <x:v>46125</x:v>
      </x:c>
      <x:c r="H180" s="16" t="str">
        <x:v>04/2026</x:v>
      </x:c>
      <x:c r="I180" s="40" t="n">
        <x:v>462.92</x:v>
      </x:c>
      <x:c r="J180" s="40" t="n">
        <x:v>492.82</x:v>
      </x:c>
      <x:c r="K180" s="16" t="str">
        <x:v>Novo</x:v>
      </x:c>
      <x:c r="L180" s="16" t="str">
        <x:v>Em aberto</x:v>
      </x:c>
      <x:c r="M180" s="16" t="str">
        <x:v>4cd865b2-a788-460e-a6e4-b4ae1f911316</x:v>
      </x:c>
      <x:c r="N180" s="41" t="str"/>
    </x:row>
    <x:row r="181">
      <x:c r="A181" s="37" t="str">
        <x:f>"51"</x:f>
        <x:v>51</x:v>
      </x:c>
      <x:c r="B181" s="38" t="str">
        <x:f>"2"</x:f>
        <x:v>2</x:v>
      </x:c>
      <x:c r="C181" s="38" t="str">
        <x:v>EVANDRO NEVES CAMPOS</x:v>
      </x:c>
      <x:c r="D181" s="38" t="str">
        <x:f>"22549545800"</x:f>
        <x:v>22549545800</x:v>
      </x:c>
      <x:c r="E181" s="38" t="str">
        <x:f>""</x:f>
      </x:c>
      <x:c r="F181" s="38" t="str">
        <x:v>grazianareissilva24@gmail.com</x:v>
      </x:c>
      <x:c r="G181" s="39" t="n">
        <x:v>46152</x:v>
      </x:c>
      <x:c r="H181" s="16" t="str">
        <x:v>05/2026</x:v>
      </x:c>
      <x:c r="I181" s="40" t="n">
        <x:v>446.92</x:v>
      </x:c>
      <x:c r="J181" s="40" t="n">
        <x:v>469.12</x:v>
      </x:c>
      <x:c r="K181" s="16" t="str">
        <x:v>Novo</x:v>
      </x:c>
      <x:c r="L181" s="16" t="str">
        <x:v>Em aberto</x:v>
      </x:c>
      <x:c r="M181" s="16" t="str">
        <x:v>f39c270f-ba74-45cb-afd0-fdb233926819</x:v>
      </x:c>
      <x:c r="N181" s="41" t="str"/>
    </x:row>
    <x:row r="182">
      <x:c r="A182" s="37" t="str">
        <x:f>"52"</x:f>
        <x:v>52</x:v>
      </x:c>
      <x:c r="B182" s="38" t="str">
        <x:f>"1"</x:f>
        <x:v>1</x:v>
      </x:c>
      <x:c r="C182" s="38" t="str">
        <x:v>CLAUDETE NASCIMENTO MACHADO</x:v>
      </x:c>
      <x:c r="D182" s="38" t="str">
        <x:f>"45609681871"</x:f>
        <x:v>45609681871</x:v>
      </x:c>
      <x:c r="E182" s="38" t="str">
        <x:f>"11977558166"</x:f>
        <x:v>11977558166</x:v>
      </x:c>
      <x:c r="F182" s="38" t="str">
        <x:v>felipesilvanunes17@gmail.com</x:v>
      </x:c>
      <x:c r="G182" s="39" t="n">
        <x:v>46063</x:v>
      </x:c>
      <x:c r="H182" s="16" t="str">
        <x:v>02/2026</x:v>
      </x:c>
      <x:c r="I182" s="40" t="n">
        <x:v>426.2</x:v>
      </x:c>
      <x:c r="J182" s="40" t="n">
        <x:v>467.36</x:v>
      </x:c>
      <x:c r="K182" s="16" t="str">
        <x:v>Novo</x:v>
      </x:c>
      <x:c r="L182" s="16" t="str">
        <x:v>Em aberto</x:v>
      </x:c>
      <x:c r="M182" s="16" t="str">
        <x:v>7d805862-806b-4ef6-acc1-f2d5e5ab3156</x:v>
      </x:c>
      <x:c r="N182" s="41" t="str"/>
    </x:row>
    <x:row r="183">
      <x:c r="A183" s="37" t="str">
        <x:f>"52"</x:f>
        <x:v>52</x:v>
      </x:c>
      <x:c r="B183" s="38" t="str">
        <x:f>"1"</x:f>
        <x:v>1</x:v>
      </x:c>
      <x:c r="C183" s="38" t="str">
        <x:v>CLAUDETE NASCIMENTO MACHADO</x:v>
      </x:c>
      <x:c r="D183" s="38" t="str">
        <x:f>"45609681871"</x:f>
        <x:v>45609681871</x:v>
      </x:c>
      <x:c r="E183" s="38" t="str">
        <x:f>"11977558166"</x:f>
        <x:v>11977558166</x:v>
      </x:c>
      <x:c r="F183" s="38" t="str">
        <x:v>felipesilvanunes17@gmail.com</x:v>
      </x:c>
      <x:c r="G183" s="39" t="n">
        <x:v>46091</x:v>
      </x:c>
      <x:c r="H183" s="16" t="str">
        <x:v>03/2026</x:v>
      </x:c>
      <x:c r="I183" s="40" t="n">
        <x:v>431.37</x:v>
      </x:c>
      <x:c r="J183" s="40" t="n">
        <x:v>467.6</x:v>
      </x:c>
      <x:c r="K183" s="16" t="str">
        <x:v>Novo</x:v>
      </x:c>
      <x:c r="L183" s="16" t="str">
        <x:v>Em aberto</x:v>
      </x:c>
      <x:c r="M183" s="16" t="str">
        <x:v>774a7d5d-9ade-47fb-9de0-352153feb91a</x:v>
      </x:c>
      <x:c r="N183" s="41" t="str"/>
    </x:row>
    <x:row r="184">
      <x:c r="A184" s="37" t="str">
        <x:f>"52"</x:f>
        <x:v>52</x:v>
      </x:c>
      <x:c r="B184" s="38" t="str">
        <x:f>"3"</x:f>
        <x:v>3</x:v>
      </x:c>
      <x:c r="C184" s="38" t="str">
        <x:v>RAFAEL HENRIQUE ITO DE OLIVEIRA</x:v>
      </x:c>
      <x:c r="D184" s="38" t="str">
        <x:f>"36416372878"</x:f>
        <x:v>36416372878</x:v>
      </x:c>
      <x:c r="E184" s="38" t="str">
        <x:f>"11965666834"</x:f>
        <x:v>11965666834</x:v>
      </x:c>
      <x:c r="F184" s="38" t="str">
        <x:v>itorafaeloliveira@gmail.com</x:v>
      </x:c>
      <x:c r="G184" s="39" t="n">
        <x:v>46091</x:v>
      </x:c>
      <x:c r="H184" s="16" t="str">
        <x:v>03/2026</x:v>
      </x:c>
      <x:c r="I184" s="40" t="n">
        <x:v>431.37</x:v>
      </x:c>
      <x:c r="J184" s="40" t="n">
        <x:v>467.6</x:v>
      </x:c>
      <x:c r="K184" s="16" t="str">
        <x:v>Novo</x:v>
      </x:c>
      <x:c r="L184" s="16" t="str">
        <x:v>Em aberto</x:v>
      </x:c>
      <x:c r="M184" s="16" t="str">
        <x:v>f533584b-d7cd-46fa-9c1b-5457a06a4087</x:v>
      </x:c>
      <x:c r="N184" s="41" t="str"/>
    </x:row>
    <x:row r="185">
      <x:c r="A185" s="37" t="str">
        <x:f>"52"</x:f>
        <x:v>52</x:v>
      </x:c>
      <x:c r="B185" s="38" t="str">
        <x:f>"1"</x:f>
        <x:v>1</x:v>
      </x:c>
      <x:c r="C185" s="38" t="str">
        <x:v>CLAUDETE NASCIMENTO MACHADO</x:v>
      </x:c>
      <x:c r="D185" s="38" t="str">
        <x:f>"45609681871"</x:f>
        <x:v>45609681871</x:v>
      </x:c>
      <x:c r="E185" s="38" t="str">
        <x:f>"11977558166"</x:f>
        <x:v>11977558166</x:v>
      </x:c>
      <x:c r="F185" s="38" t="str">
        <x:v>felipesilvanunes17@gmail.com</x:v>
      </x:c>
      <x:c r="G185" s="39" t="n">
        <x:v>46125</x:v>
      </x:c>
      <x:c r="H185" s="16" t="str">
        <x:v>04/2026</x:v>
      </x:c>
      <x:c r="I185" s="40" t="n">
        <x:v>432.83</x:v>
      </x:c>
      <x:c r="J185" s="40" t="n">
        <x:v>460.8</x:v>
      </x:c>
      <x:c r="K185" s="16" t="str">
        <x:v>Novo</x:v>
      </x:c>
      <x:c r="L185" s="16" t="str">
        <x:v>Em aberto</x:v>
      </x:c>
      <x:c r="M185" s="16" t="str">
        <x:v>a338e2c4-1632-4606-8550-bddd4b29c617</x:v>
      </x:c>
      <x:c r="N185" s="41" t="str"/>
    </x:row>
    <x:row r="186">
      <x:c r="A186" s="37" t="str">
        <x:f>"52"</x:f>
        <x:v>52</x:v>
      </x:c>
      <x:c r="B186" s="38" t="str">
        <x:f>"3"</x:f>
        <x:v>3</x:v>
      </x:c>
      <x:c r="C186" s="38" t="str">
        <x:v>RAFAEL HENRIQUE ITO DE OLIVEIRA</x:v>
      </x:c>
      <x:c r="D186" s="38" t="str">
        <x:f>"36416372878"</x:f>
        <x:v>36416372878</x:v>
      </x:c>
      <x:c r="E186" s="38" t="str">
        <x:f>"11965666834"</x:f>
        <x:v>11965666834</x:v>
      </x:c>
      <x:c r="F186" s="38" t="str">
        <x:v>itorafaeloliveira@gmail.com</x:v>
      </x:c>
      <x:c r="G186" s="39" t="n">
        <x:v>46125</x:v>
      </x:c>
      <x:c r="H186" s="16" t="str">
        <x:v>04/2026</x:v>
      </x:c>
      <x:c r="I186" s="40" t="n">
        <x:v>432.83</x:v>
      </x:c>
      <x:c r="J186" s="40" t="n">
        <x:v>460.8</x:v>
      </x:c>
      <x:c r="K186" s="16" t="str">
        <x:v>Novo</x:v>
      </x:c>
      <x:c r="L186" s="16" t="str">
        <x:v>Em aberto</x:v>
      </x:c>
      <x:c r="M186" s="16" t="str">
        <x:v>1928296a-16a7-4cd4-abe4-06475a3e21a2</x:v>
      </x:c>
      <x:c r="N186" s="41" t="str"/>
    </x:row>
    <x:row r="187">
      <x:c r="A187" s="37" t="str">
        <x:f>"52"</x:f>
        <x:v>52</x:v>
      </x:c>
      <x:c r="B187" s="38" t="str">
        <x:f>"1"</x:f>
        <x:v>1</x:v>
      </x:c>
      <x:c r="C187" s="38" t="str">
        <x:v>CLAUDETE NASCIMENTO MACHADO</x:v>
      </x:c>
      <x:c r="D187" s="38" t="str">
        <x:f>"45609681871"</x:f>
        <x:v>45609681871</x:v>
      </x:c>
      <x:c r="E187" s="38" t="str">
        <x:f>"11977558166"</x:f>
        <x:v>11977558166</x:v>
      </x:c>
      <x:c r="F187" s="38" t="str">
        <x:v>felipesilvanunes17@gmail.com</x:v>
      </x:c>
      <x:c r="G187" s="39" t="n">
        <x:v>46152</x:v>
      </x:c>
      <x:c r="H187" s="16" t="str">
        <x:v>05/2026</x:v>
      </x:c>
      <x:c r="I187" s="40" t="n">
        <x:v>417.87</x:v>
      </x:c>
      <x:c r="J187" s="40" t="n">
        <x:v>438.62</x:v>
      </x:c>
      <x:c r="K187" s="16" t="str">
        <x:v>Novo</x:v>
      </x:c>
      <x:c r="L187" s="16" t="str">
        <x:v>Em aberto</x:v>
      </x:c>
      <x:c r="M187" s="16" t="str">
        <x:v>4a375255-85fe-44dc-81d8-522b061d9bb6</x:v>
      </x:c>
      <x:c r="N187" s="41" t="str"/>
    </x:row>
    <x:row r="188">
      <x:c r="A188" s="37" t="str">
        <x:f>"52"</x:f>
        <x:v>52</x:v>
      </x:c>
      <x:c r="B188" s="38" t="str">
        <x:f>"3"</x:f>
        <x:v>3</x:v>
      </x:c>
      <x:c r="C188" s="38" t="str">
        <x:v>RAFAEL HENRIQUE ITO DE OLIVEIRA</x:v>
      </x:c>
      <x:c r="D188" s="38" t="str">
        <x:f>"36416372878"</x:f>
        <x:v>36416372878</x:v>
      </x:c>
      <x:c r="E188" s="38" t="str">
        <x:f>"11965666834"</x:f>
        <x:v>11965666834</x:v>
      </x:c>
      <x:c r="F188" s="38" t="str">
        <x:v>itorafaeloliveira@gmail.com</x:v>
      </x:c>
      <x:c r="G188" s="39" t="n">
        <x:v>46152</x:v>
      </x:c>
      <x:c r="H188" s="16" t="str">
        <x:v>05/2026</x:v>
      </x:c>
      <x:c r="I188" s="40" t="n">
        <x:v>417.87</x:v>
      </x:c>
      <x:c r="J188" s="40" t="n">
        <x:v>438.62</x:v>
      </x:c>
      <x:c r="K188" s="16" t="str">
        <x:v>Novo</x:v>
      </x:c>
      <x:c r="L188" s="16" t="str">
        <x:v>Em aberto</x:v>
      </x:c>
      <x:c r="M188" s="16" t="str">
        <x:v>242978eb-45bb-4fab-8029-5b1b951ea8ae</x:v>
      </x:c>
      <x:c r="N188" s="41" t="str"/>
    </x:row>
    <x:row r="189">
      <x:c r="A189" s="37" t="str">
        <x:f>"52"</x:f>
        <x:v>52</x:v>
      </x:c>
      <x:c r="B189" s="38" t="str">
        <x:f>"1"</x:f>
        <x:v>1</x:v>
      </x:c>
      <x:c r="C189" s="38" t="str">
        <x:v>CLAUDETE NASCIMENTO MACHADO</x:v>
      </x:c>
      <x:c r="D189" s="38" t="str">
        <x:f>"45609681871"</x:f>
        <x:v>45609681871</x:v>
      </x:c>
      <x:c r="E189" s="38" t="str">
        <x:f>"11977558166"</x:f>
        <x:v>11977558166</x:v>
      </x:c>
      <x:c r="F189" s="38" t="str">
        <x:v>felipesilvanunes17@gmail.com</x:v>
      </x:c>
      <x:c r="G189" s="39" t="n">
        <x:v>46183</x:v>
      </x:c>
      <x:c r="H189" s="16" t="str">
        <x:v>06/2026</x:v>
      </x:c>
      <x:c r="I189" s="40" t="n">
        <x:v>439.74</x:v>
      </x:c>
      <x:c r="J189" s="40" t="n">
        <x:v>453.02</x:v>
      </x:c>
      <x:c r="K189" s="16" t="str">
        <x:v>Novo</x:v>
      </x:c>
      <x:c r="L189" s="16" t="str">
        <x:v>Em aberto</x:v>
      </x:c>
      <x:c r="M189" s="16" t="str">
        <x:v>9b28c5be-15ba-4fce-819a-1d535cbf7723</x:v>
      </x:c>
      <x:c r="N189" s="41" t="str"/>
    </x:row>
    <x:row r="190">
      <x:c r="A190" s="37" t="str">
        <x:f>"52"</x:f>
        <x:v>52</x:v>
      </x:c>
      <x:c r="B190" s="38" t="str">
        <x:f>"3"</x:f>
        <x:v>3</x:v>
      </x:c>
      <x:c r="C190" s="38" t="str">
        <x:v>RAFAEL HENRIQUE ITO DE OLIVEIRA</x:v>
      </x:c>
      <x:c r="D190" s="38" t="str">
        <x:f>"36416372878"</x:f>
        <x:v>36416372878</x:v>
      </x:c>
      <x:c r="E190" s="38" t="str">
        <x:f>"11965666834"</x:f>
        <x:v>11965666834</x:v>
      </x:c>
      <x:c r="F190" s="38" t="str">
        <x:v>itorafaeloliveira@gmail.com</x:v>
      </x:c>
      <x:c r="G190" s="39" t="n">
        <x:v>46183</x:v>
      </x:c>
      <x:c r="H190" s="16" t="str">
        <x:v>06/2026</x:v>
      </x:c>
      <x:c r="I190" s="40" t="n">
        <x:v>439.74</x:v>
      </x:c>
      <x:c r="J190" s="40" t="n">
        <x:v>453.02</x:v>
      </x:c>
      <x:c r="K190" s="16" t="str">
        <x:v>Novo</x:v>
      </x:c>
      <x:c r="L190" s="16" t="str">
        <x:v>Em aberto</x:v>
      </x:c>
      <x:c r="M190" s="16" t="str">
        <x:v>f948ca2a-1889-4d16-9c1f-a95485f701bc</x:v>
      </x:c>
      <x:c r="N190" s="41" t="str"/>
    </x:row>
    <x:row r="191">
      <x:c r="A191" s="37" t="str">
        <x:f>"53"</x:f>
        <x:v>53</x:v>
      </x:c>
      <x:c r="B191" s="38" t="str">
        <x:f>"3"</x:f>
        <x:v>3</x:v>
      </x:c>
      <x:c r="C191" s="38" t="str">
        <x:v>HAIDEE ALVES LOPES BARROS</x:v>
      </x:c>
      <x:c r="D191" s="38" t="str">
        <x:f>"35393888856"</x:f>
        <x:v>35393888856</x:v>
      </x:c>
      <x:c r="E191" s="38" t="str">
        <x:f>"11988045077"</x:f>
        <x:v>11988045077</x:v>
      </x:c>
      <x:c r="F191" s="38" t="str">
        <x:v>haideelopes@outlook.com</x:v>
      </x:c>
      <x:c r="G191" s="39" t="n">
        <x:v>46063</x:v>
      </x:c>
      <x:c r="H191" s="16" t="str">
        <x:v>02/2026</x:v>
      </x:c>
      <x:c r="I191" s="40" t="n">
        <x:v>426.2</x:v>
      </x:c>
      <x:c r="J191" s="40" t="n">
        <x:v>467.36</x:v>
      </x:c>
      <x:c r="K191" s="16" t="str">
        <x:v>Novo</x:v>
      </x:c>
      <x:c r="L191" s="16" t="str">
        <x:v>Em aberto</x:v>
      </x:c>
      <x:c r="M191" s="16" t="str">
        <x:v>3ecc7d24-bb98-4b6a-8ed5-da782f335104</x:v>
      </x:c>
      <x:c r="N191" s="41" t="str"/>
    </x:row>
    <x:row r="192">
      <x:c r="A192" s="37" t="str">
        <x:f>"53"</x:f>
        <x:v>53</x:v>
      </x:c>
      <x:c r="B192" s="38" t="str">
        <x:f>"1"</x:f>
        <x:v>1</x:v>
      </x:c>
      <x:c r="C192" s="38" t="str">
        <x:v>AMANDA FURQUIM RODRIGUES</x:v>
      </x:c>
      <x:c r="D192" s="38" t="str">
        <x:f>"45976043836"</x:f>
        <x:v>45976043836</x:v>
      </x:c>
      <x:c r="E192" s="38" t="str">
        <x:f>"11946376681"</x:f>
        <x:v>11946376681</x:v>
      </x:c>
      <x:c r="F192" s="38" t="str">
        <x:v>amaanda.furquim16@gmail.com</x:v>
      </x:c>
      <x:c r="G192" s="39" t="n">
        <x:v>46063</x:v>
      </x:c>
      <x:c r="H192" s="16" t="str">
        <x:v>02/2026</x:v>
      </x:c>
      <x:c r="I192" s="40" t="n">
        <x:v>426.2</x:v>
      </x:c>
      <x:c r="J192" s="40" t="n">
        <x:v>467.36</x:v>
      </x:c>
      <x:c r="K192" s="16" t="str">
        <x:v>Novo</x:v>
      </x:c>
      <x:c r="L192" s="16" t="str">
        <x:v>Em aberto</x:v>
      </x:c>
      <x:c r="M192" s="16" t="str">
        <x:v>41b1677d-79c7-4c21-99e3-9e43139de537</x:v>
      </x:c>
      <x:c r="N192" s="41" t="str"/>
    </x:row>
    <x:row r="193">
      <x:c r="A193" s="37" t="str">
        <x:f>"53"</x:f>
        <x:v>53</x:v>
      </x:c>
      <x:c r="B193" s="38" t="str">
        <x:f>"2"</x:f>
        <x:v>2</x:v>
      </x:c>
      <x:c r="C193" s="38" t="str">
        <x:v>FLAVIA MIRANDA SANTOS</x:v>
      </x:c>
      <x:c r="D193" s="38" t="str">
        <x:f>"38275963869"</x:f>
        <x:v>38275963869</x:v>
      </x:c>
      <x:c r="E193" s="38" t="str">
        <x:f>"11982416907"</x:f>
        <x:v>11982416907</x:v>
      </x:c>
      <x:c r="F193" s="38" t="str">
        <x:v>dcflavia12@gmail.com</x:v>
      </x:c>
      <x:c r="G193" s="39" t="n">
        <x:v>46063</x:v>
      </x:c>
      <x:c r="H193" s="16" t="str">
        <x:v>02/2026</x:v>
      </x:c>
      <x:c r="I193" s="40" t="n">
        <x:v>426.2</x:v>
      </x:c>
      <x:c r="J193" s="40" t="n">
        <x:v>467.36</x:v>
      </x:c>
      <x:c r="K193" s="16" t="str">
        <x:v>Novo</x:v>
      </x:c>
      <x:c r="L193" s="16" t="str">
        <x:v>Em aberto</x:v>
      </x:c>
      <x:c r="M193" s="16" t="str">
        <x:v>4da2ad0b-a518-4f18-a868-a7cf49f003ad</x:v>
      </x:c>
      <x:c r="N193" s="41" t="str"/>
    </x:row>
    <x:row r="194">
      <x:c r="A194" s="37" t="str">
        <x:f>"53"</x:f>
        <x:v>53</x:v>
      </x:c>
      <x:c r="B194" s="38" t="str">
        <x:f>"3"</x:f>
        <x:v>3</x:v>
      </x:c>
      <x:c r="C194" s="38" t="str">
        <x:v>HAIDEE ALVES LOPES BARROS</x:v>
      </x:c>
      <x:c r="D194" s="38" t="str">
        <x:f>"35393888856"</x:f>
        <x:v>35393888856</x:v>
      </x:c>
      <x:c r="E194" s="38" t="str">
        <x:f>"11988045077"</x:f>
        <x:v>11988045077</x:v>
      </x:c>
      <x:c r="F194" s="38" t="str">
        <x:v>haideelopes@outlook.com</x:v>
      </x:c>
      <x:c r="G194" s="39" t="n">
        <x:v>46091</x:v>
      </x:c>
      <x:c r="H194" s="16" t="str">
        <x:v>03/2026</x:v>
      </x:c>
      <x:c r="I194" s="40" t="n">
        <x:v>431.37</x:v>
      </x:c>
      <x:c r="J194" s="40" t="n">
        <x:v>467.6</x:v>
      </x:c>
      <x:c r="K194" s="16" t="str">
        <x:v>Novo</x:v>
      </x:c>
      <x:c r="L194" s="16" t="str">
        <x:v>Em aberto</x:v>
      </x:c>
      <x:c r="M194" s="16" t="str">
        <x:v>c6aef668-a533-4565-8f0e-944bfc2fc807</x:v>
      </x:c>
      <x:c r="N194" s="41" t="str"/>
    </x:row>
    <x:row r="195">
      <x:c r="A195" s="37" t="str">
        <x:f>"53"</x:f>
        <x:v>53</x:v>
      </x:c>
      <x:c r="B195" s="38" t="str">
        <x:f>"1"</x:f>
        <x:v>1</x:v>
      </x:c>
      <x:c r="C195" s="38" t="str">
        <x:v>AMANDA FURQUIM RODRIGUES</x:v>
      </x:c>
      <x:c r="D195" s="38" t="str">
        <x:f>"45976043836"</x:f>
        <x:v>45976043836</x:v>
      </x:c>
      <x:c r="E195" s="38" t="str">
        <x:f>"11946376681"</x:f>
        <x:v>11946376681</x:v>
      </x:c>
      <x:c r="F195" s="38" t="str">
        <x:v>amaanda.furquim16@gmail.com</x:v>
      </x:c>
      <x:c r="G195" s="39" t="n">
        <x:v>46091</x:v>
      </x:c>
      <x:c r="H195" s="16" t="str">
        <x:v>03/2026</x:v>
      </x:c>
      <x:c r="I195" s="40" t="n">
        <x:v>431.37</x:v>
      </x:c>
      <x:c r="J195" s="40" t="n">
        <x:v>467.6</x:v>
      </x:c>
      <x:c r="K195" s="16" t="str">
        <x:v>Novo</x:v>
      </x:c>
      <x:c r="L195" s="16" t="str">
        <x:v>Em aberto</x:v>
      </x:c>
      <x:c r="M195" s="16" t="str">
        <x:v>75fb1e6e-9d09-4765-96d4-a83c67581ffa</x:v>
      </x:c>
      <x:c r="N195" s="41" t="str"/>
    </x:row>
    <x:row r="196">
      <x:c r="A196" s="37" t="str">
        <x:f>"53"</x:f>
        <x:v>53</x:v>
      </x:c>
      <x:c r="B196" s="38" t="str">
        <x:f>"3"</x:f>
        <x:v>3</x:v>
      </x:c>
      <x:c r="C196" s="38" t="str">
        <x:v>HAIDEE ALVES LOPES BARROS</x:v>
      </x:c>
      <x:c r="D196" s="38" t="str">
        <x:f>"35393888856"</x:f>
        <x:v>35393888856</x:v>
      </x:c>
      <x:c r="E196" s="38" t="str">
        <x:f>"11988045077"</x:f>
        <x:v>11988045077</x:v>
      </x:c>
      <x:c r="F196" s="38" t="str">
        <x:v>haideelopes@outlook.com</x:v>
      </x:c>
      <x:c r="G196" s="39" t="n">
        <x:v>46125</x:v>
      </x:c>
      <x:c r="H196" s="16" t="str">
        <x:v>04/2026</x:v>
      </x:c>
      <x:c r="I196" s="40" t="n">
        <x:v>432.83</x:v>
      </x:c>
      <x:c r="J196" s="40" t="n">
        <x:v>460.8</x:v>
      </x:c>
      <x:c r="K196" s="16" t="str">
        <x:v>Novo</x:v>
      </x:c>
      <x:c r="L196" s="16" t="str">
        <x:v>Em aberto</x:v>
      </x:c>
      <x:c r="M196" s="16" t="str">
        <x:v>d333ccb8-d333-4116-afcb-1b384be22ea7</x:v>
      </x:c>
      <x:c r="N196" s="41" t="str"/>
    </x:row>
    <x:row r="197">
      <x:c r="A197" s="37" t="str">
        <x:f>"53"</x:f>
        <x:v>53</x:v>
      </x:c>
      <x:c r="B197" s="38" t="str">
        <x:f>"1"</x:f>
        <x:v>1</x:v>
      </x:c>
      <x:c r="C197" s="38" t="str">
        <x:v>AMANDA FURQUIM RODRIGUES</x:v>
      </x:c>
      <x:c r="D197" s="38" t="str">
        <x:f>"45976043836"</x:f>
        <x:v>45976043836</x:v>
      </x:c>
      <x:c r="E197" s="38" t="str">
        <x:f>"11946376681"</x:f>
        <x:v>11946376681</x:v>
      </x:c>
      <x:c r="F197" s="38" t="str">
        <x:v>amaanda.furquim16@gmail.com</x:v>
      </x:c>
      <x:c r="G197" s="39" t="n">
        <x:v>46125</x:v>
      </x:c>
      <x:c r="H197" s="16" t="str">
        <x:v>04/2026</x:v>
      </x:c>
      <x:c r="I197" s="40" t="n">
        <x:v>432.83</x:v>
      </x:c>
      <x:c r="J197" s="40" t="n">
        <x:v>460.8</x:v>
      </x:c>
      <x:c r="K197" s="16" t="str">
        <x:v>Novo</x:v>
      </x:c>
      <x:c r="L197" s="16" t="str">
        <x:v>Em aberto</x:v>
      </x:c>
      <x:c r="M197" s="16" t="str">
        <x:v>fd7005fe-8819-44e0-b02e-8f748d31d247</x:v>
      </x:c>
      <x:c r="N197" s="41" t="str"/>
    </x:row>
    <x:row r="198">
      <x:c r="A198" s="37" t="str">
        <x:f>"53"</x:f>
        <x:v>53</x:v>
      </x:c>
      <x:c r="B198" s="38" t="str">
        <x:f>"2"</x:f>
        <x:v>2</x:v>
      </x:c>
      <x:c r="C198" s="38" t="str">
        <x:v>FLAVIA MIRANDA SANTOS</x:v>
      </x:c>
      <x:c r="D198" s="38" t="str">
        <x:f>"38275963869"</x:f>
        <x:v>38275963869</x:v>
      </x:c>
      <x:c r="E198" s="38" t="str">
        <x:f>"11982416907"</x:f>
        <x:v>11982416907</x:v>
      </x:c>
      <x:c r="F198" s="38" t="str">
        <x:v>dcflavia12@gmail.com</x:v>
      </x:c>
      <x:c r="G198" s="39" t="n">
        <x:v>46125</x:v>
      </x:c>
      <x:c r="H198" s="16" t="str">
        <x:v>04/2026</x:v>
      </x:c>
      <x:c r="I198" s="40" t="n">
        <x:v>432.83</x:v>
      </x:c>
      <x:c r="J198" s="40" t="n">
        <x:v>460.8</x:v>
      </x:c>
      <x:c r="K198" s="16" t="str">
        <x:v>Novo</x:v>
      </x:c>
      <x:c r="L198" s="16" t="str">
        <x:v>Em aberto</x:v>
      </x:c>
      <x:c r="M198" s="16" t="str">
        <x:v>52f144e3-550f-4c96-8ee3-4815a4ec9d57</x:v>
      </x:c>
      <x:c r="N198" s="41" t="str"/>
    </x:row>
    <x:row r="199">
      <x:c r="A199" s="37" t="str">
        <x:f>"53"</x:f>
        <x:v>53</x:v>
      </x:c>
      <x:c r="B199" s="38" t="str">
        <x:f>"3"</x:f>
        <x:v>3</x:v>
      </x:c>
      <x:c r="C199" s="38" t="str">
        <x:v>HAIDEE ALVES LOPES BARROS</x:v>
      </x:c>
      <x:c r="D199" s="38" t="str">
        <x:f>"35393888856"</x:f>
        <x:v>35393888856</x:v>
      </x:c>
      <x:c r="E199" s="38" t="str">
        <x:f>"11988045077"</x:f>
        <x:v>11988045077</x:v>
      </x:c>
      <x:c r="F199" s="38" t="str">
        <x:v>haideelopes@outlook.com</x:v>
      </x:c>
      <x:c r="G199" s="39" t="n">
        <x:v>46152</x:v>
      </x:c>
      <x:c r="H199" s="16" t="str">
        <x:v>05/2026</x:v>
      </x:c>
      <x:c r="I199" s="40" t="n">
        <x:v>417.87</x:v>
      </x:c>
      <x:c r="J199" s="40" t="n">
        <x:v>438.62</x:v>
      </x:c>
      <x:c r="K199" s="16" t="str">
        <x:v>Novo</x:v>
      </x:c>
      <x:c r="L199" s="16" t="str">
        <x:v>Em aberto</x:v>
      </x:c>
      <x:c r="M199" s="16" t="str">
        <x:v>57e252b1-82b2-4f88-97f1-9b84f6d9bc1f</x:v>
      </x:c>
      <x:c r="N199" s="41" t="str"/>
    </x:row>
    <x:row r="200">
      <x:c r="A200" s="37" t="str">
        <x:f>"53"</x:f>
        <x:v>53</x:v>
      </x:c>
      <x:c r="B200" s="38" t="str">
        <x:f>"1"</x:f>
        <x:v>1</x:v>
      </x:c>
      <x:c r="C200" s="38" t="str">
        <x:v>AMANDA FURQUIM RODRIGUES</x:v>
      </x:c>
      <x:c r="D200" s="38" t="str">
        <x:f>"45976043836"</x:f>
        <x:v>45976043836</x:v>
      </x:c>
      <x:c r="E200" s="38" t="str">
        <x:f>"11946376681"</x:f>
        <x:v>11946376681</x:v>
      </x:c>
      <x:c r="F200" s="38" t="str">
        <x:v>amaanda.furquim16@gmail.com</x:v>
      </x:c>
      <x:c r="G200" s="39" t="n">
        <x:v>46152</x:v>
      </x:c>
      <x:c r="H200" s="16" t="str">
        <x:v>05/2026</x:v>
      </x:c>
      <x:c r="I200" s="40" t="n">
        <x:v>417.87</x:v>
      </x:c>
      <x:c r="J200" s="40" t="n">
        <x:v>438.62</x:v>
      </x:c>
      <x:c r="K200" s="16" t="str">
        <x:v>Novo</x:v>
      </x:c>
      <x:c r="L200" s="16" t="str">
        <x:v>Em aberto</x:v>
      </x:c>
      <x:c r="M200" s="16" t="str">
        <x:v>0558df35-ca70-4233-bf9f-aad555348a8b</x:v>
      </x:c>
      <x:c r="N200" s="41" t="str"/>
    </x:row>
    <x:row r="201">
      <x:c r="A201" s="37" t="str">
        <x:f>"53"</x:f>
        <x:v>53</x:v>
      </x:c>
      <x:c r="B201" s="38" t="str">
        <x:f>"2"</x:f>
        <x:v>2</x:v>
      </x:c>
      <x:c r="C201" s="38" t="str">
        <x:v>FLAVIA MIRANDA SANTOS</x:v>
      </x:c>
      <x:c r="D201" s="38" t="str">
        <x:f>"38275963869"</x:f>
        <x:v>38275963869</x:v>
      </x:c>
      <x:c r="E201" s="38" t="str">
        <x:f>"11982416907"</x:f>
        <x:v>11982416907</x:v>
      </x:c>
      <x:c r="F201" s="38" t="str">
        <x:v>dcflavia12@gmail.com</x:v>
      </x:c>
      <x:c r="G201" s="39" t="n">
        <x:v>46152</x:v>
      </x:c>
      <x:c r="H201" s="16" t="str">
        <x:v>05/2026</x:v>
      </x:c>
      <x:c r="I201" s="40" t="n">
        <x:v>417.87</x:v>
      </x:c>
      <x:c r="J201" s="40" t="n">
        <x:v>438.62</x:v>
      </x:c>
      <x:c r="K201" s="16" t="str">
        <x:v>Novo</x:v>
      </x:c>
      <x:c r="L201" s="16" t="str">
        <x:v>Em aberto</x:v>
      </x:c>
      <x:c r="M201" s="16" t="str">
        <x:v>8bf956bf-809f-4d01-8e8f-a44871715c78</x:v>
      </x:c>
      <x:c r="N201" s="41" t="str"/>
    </x:row>
    <x:row r="202">
      <x:c r="A202" s="37" t="str">
        <x:f>"53"</x:f>
        <x:v>53</x:v>
      </x:c>
      <x:c r="B202" s="38" t="str">
        <x:f>"3"</x:f>
        <x:v>3</x:v>
      </x:c>
      <x:c r="C202" s="38" t="str">
        <x:v>HAIDEE ALVES LOPES BARROS</x:v>
      </x:c>
      <x:c r="D202" s="38" t="str">
        <x:f>"35393888856"</x:f>
        <x:v>35393888856</x:v>
      </x:c>
      <x:c r="E202" s="38" t="str">
        <x:f>"11988045077"</x:f>
        <x:v>11988045077</x:v>
      </x:c>
      <x:c r="F202" s="38" t="str">
        <x:v>haideelopes@outlook.com</x:v>
      </x:c>
      <x:c r="G202" s="39" t="n">
        <x:v>46183</x:v>
      </x:c>
      <x:c r="H202" s="16" t="str">
        <x:v>06/2026</x:v>
      </x:c>
      <x:c r="I202" s="40" t="n">
        <x:v>439.74</x:v>
      </x:c>
      <x:c r="J202" s="40" t="n">
        <x:v>453.02</x:v>
      </x:c>
      <x:c r="K202" s="16" t="str">
        <x:v>Novo</x:v>
      </x:c>
      <x:c r="L202" s="16" t="str">
        <x:v>Em aberto</x:v>
      </x:c>
      <x:c r="M202" s="16" t="str">
        <x:v>b1777c94-f384-49ca-99b6-3371c0e9e041</x:v>
      </x:c>
      <x:c r="N202" s="41" t="str"/>
    </x:row>
    <x:row r="203">
      <x:c r="A203" s="37" t="str">
        <x:f>"53"</x:f>
        <x:v>53</x:v>
      </x:c>
      <x:c r="B203" s="38" t="str">
        <x:f>"2"</x:f>
        <x:v>2</x:v>
      </x:c>
      <x:c r="C203" s="38" t="str">
        <x:v>FLAVIA MIRANDA SANTOS</x:v>
      </x:c>
      <x:c r="D203" s="38" t="str">
        <x:f>"38275963869"</x:f>
        <x:v>38275963869</x:v>
      </x:c>
      <x:c r="E203" s="38" t="str">
        <x:f>"11982416907"</x:f>
        <x:v>11982416907</x:v>
      </x:c>
      <x:c r="F203" s="38" t="str">
        <x:v>dcflavia12@gmail.com</x:v>
      </x:c>
      <x:c r="G203" s="39" t="n">
        <x:v>46183</x:v>
      </x:c>
      <x:c r="H203" s="16" t="str">
        <x:v>06/2026</x:v>
      </x:c>
      <x:c r="I203" s="40" t="n">
        <x:v>439.74</x:v>
      </x:c>
      <x:c r="J203" s="40" t="n">
        <x:v>453.02</x:v>
      </x:c>
      <x:c r="K203" s="16" t="str">
        <x:v>Novo</x:v>
      </x:c>
      <x:c r="L203" s="16" t="str">
        <x:v>Em aberto</x:v>
      </x:c>
      <x:c r="M203" s="16" t="str">
        <x:v>f786bba1-616f-42c5-bcae-27ee89a561bf</x:v>
      </x:c>
      <x:c r="N203" s="41" t="str"/>
    </x:row>
    <x:row r="204">
      <x:c r="A204" s="37" t="str">
        <x:f>"54"</x:f>
        <x:v>54</x:v>
      </x:c>
      <x:c r="B204" s="38" t="str">
        <x:f>"1"</x:f>
        <x:v>1</x:v>
      </x:c>
      <x:c r="C204" s="38" t="str">
        <x:v>SEBASTIANA PEREIRA DA COSTA CRISTOV</x:v>
      </x:c>
      <x:c r="D204" s="38" t="str">
        <x:f>"14609571803"</x:f>
        <x:v>14609571803</x:v>
      </x:c>
      <x:c r="E204" s="38" t="str">
        <x:f>"11963623189"</x:f>
        <x:v>11963623189</x:v>
      </x:c>
      <x:c r="F204" s="38" t="str">
        <x:v>ba.pit@hotmail.com</x:v>
      </x:c>
      <x:c r="G204" s="39" t="n">
        <x:v>46063</x:v>
      </x:c>
      <x:c r="H204" s="16" t="str">
        <x:v>02/2026</x:v>
      </x:c>
      <x:c r="I204" s="40" t="n">
        <x:v>455.83</x:v>
      </x:c>
      <x:c r="J204" s="40" t="n">
        <x:v>499.86</x:v>
      </x:c>
      <x:c r="K204" s="16" t="str">
        <x:v>Novo</x:v>
      </x:c>
      <x:c r="L204" s="16" t="str">
        <x:v>Em aberto</x:v>
      </x:c>
      <x:c r="M204" s="16" t="str">
        <x:v>330e72ab-581c-4832-939b-93023f199cff</x:v>
      </x:c>
      <x:c r="N204" s="41" t="str"/>
    </x:row>
    <x:row r="205">
      <x:c r="A205" s="37" t="str">
        <x:f>"54"</x:f>
        <x:v>54</x:v>
      </x:c>
      <x:c r="B205" s="38" t="str">
        <x:f>"1"</x:f>
        <x:v>1</x:v>
      </x:c>
      <x:c r="C205" s="38" t="str">
        <x:v>SEBASTIANA PEREIRA DA COSTA CRISTOV</x:v>
      </x:c>
      <x:c r="D205" s="38" t="str">
        <x:f>"14609571803"</x:f>
        <x:v>14609571803</x:v>
      </x:c>
      <x:c r="E205" s="38" t="str">
        <x:f>"11963623189"</x:f>
        <x:v>11963623189</x:v>
      </x:c>
      <x:c r="F205" s="38" t="str">
        <x:v>ba.pit@hotmail.com</x:v>
      </x:c>
      <x:c r="G205" s="39" t="n">
        <x:v>46091</x:v>
      </x:c>
      <x:c r="H205" s="16" t="str">
        <x:v>03/2026</x:v>
      </x:c>
      <x:c r="I205" s="40" t="n">
        <x:v>461.36</x:v>
      </x:c>
      <x:c r="J205" s="40" t="n">
        <x:v>500.1</x:v>
      </x:c>
      <x:c r="K205" s="16" t="str">
        <x:v>Novo</x:v>
      </x:c>
      <x:c r="L205" s="16" t="str">
        <x:v>Em aberto</x:v>
      </x:c>
      <x:c r="M205" s="16" t="str">
        <x:v>625396f5-29cf-4bcc-90b7-00c6035aec16</x:v>
      </x:c>
      <x:c r="N205" s="41" t="str"/>
    </x:row>
    <x:row r="206">
      <x:c r="A206" s="37" t="str">
        <x:f>"54"</x:f>
        <x:v>54</x:v>
      </x:c>
      <x:c r="B206" s="38" t="str">
        <x:f>"1"</x:f>
        <x:v>1</x:v>
      </x:c>
      <x:c r="C206" s="38" t="str">
        <x:v>SEBASTIANA PEREIRA DA COSTA CRISTOV</x:v>
      </x:c>
      <x:c r="D206" s="38" t="str">
        <x:f>"14609571803"</x:f>
        <x:v>14609571803</x:v>
      </x:c>
      <x:c r="E206" s="38" t="str">
        <x:f>"11963623189"</x:f>
        <x:v>11963623189</x:v>
      </x:c>
      <x:c r="F206" s="38" t="str">
        <x:v>ba.pit@hotmail.com</x:v>
      </x:c>
      <x:c r="G206" s="39" t="n">
        <x:v>46125</x:v>
      </x:c>
      <x:c r="H206" s="16" t="str">
        <x:v>04/2026</x:v>
      </x:c>
      <x:c r="I206" s="40" t="n">
        <x:v>462.92</x:v>
      </x:c>
      <x:c r="J206" s="40" t="n">
        <x:v>492.82</x:v>
      </x:c>
      <x:c r="K206" s="16" t="str">
        <x:v>Novo</x:v>
      </x:c>
      <x:c r="L206" s="16" t="str">
        <x:v>Em aberto</x:v>
      </x:c>
      <x:c r="M206" s="16" t="str">
        <x:v>0a9dcda3-6f4c-49ce-bcee-c6b67029a28e</x:v>
      </x:c>
      <x:c r="N206" s="41" t="str"/>
    </x:row>
    <x:row r="207">
      <x:c r="A207" s="37" t="str">
        <x:f>"54"</x:f>
        <x:v>54</x:v>
      </x:c>
      <x:c r="B207" s="38" t="str">
        <x:f>"1"</x:f>
        <x:v>1</x:v>
      </x:c>
      <x:c r="C207" s="38" t="str">
        <x:v>SEBASTIANA PEREIRA DA COSTA CRISTOV</x:v>
      </x:c>
      <x:c r="D207" s="38" t="str">
        <x:f>"14609571803"</x:f>
        <x:v>14609571803</x:v>
      </x:c>
      <x:c r="E207" s="38" t="str">
        <x:f>"11963623189"</x:f>
        <x:v>11963623189</x:v>
      </x:c>
      <x:c r="F207" s="38" t="str">
        <x:v>ba.pit@hotmail.com</x:v>
      </x:c>
      <x:c r="G207" s="39" t="n">
        <x:v>46152</x:v>
      </x:c>
      <x:c r="H207" s="16" t="str">
        <x:v>05/2026</x:v>
      </x:c>
      <x:c r="I207" s="40" t="n">
        <x:v>446.92</x:v>
      </x:c>
      <x:c r="J207" s="40" t="n">
        <x:v>469.12</x:v>
      </x:c>
      <x:c r="K207" s="16" t="str">
        <x:v>Novo</x:v>
      </x:c>
      <x:c r="L207" s="16" t="str">
        <x:v>Em aberto</x:v>
      </x:c>
      <x:c r="M207" s="16" t="str">
        <x:v>970e9752-7a89-4dfb-9925-464622dc557e</x:v>
      </x:c>
      <x:c r="N207" s="41" t="str"/>
    </x:row>
    <x:row r="208">
      <x:c r="A208" s="37" t="str">
        <x:f>"54"</x:f>
        <x:v>54</x:v>
      </x:c>
      <x:c r="B208" s="38" t="str">
        <x:f>"1"</x:f>
        <x:v>1</x:v>
      </x:c>
      <x:c r="C208" s="38" t="str">
        <x:v>SEBASTIANA PEREIRA DA COSTA CRISTOV</x:v>
      </x:c>
      <x:c r="D208" s="38" t="str">
        <x:f>"14609571803"</x:f>
        <x:v>14609571803</x:v>
      </x:c>
      <x:c r="E208" s="38" t="str">
        <x:f>"11963623189"</x:f>
        <x:v>11963623189</x:v>
      </x:c>
      <x:c r="F208" s="38" t="str">
        <x:v>ba.pit@hotmail.com</x:v>
      </x:c>
      <x:c r="G208" s="39" t="n">
        <x:v>46183</x:v>
      </x:c>
      <x:c r="H208" s="16" t="str">
        <x:v>06/2026</x:v>
      </x:c>
      <x:c r="I208" s="40" t="n">
        <x:v>470.33</x:v>
      </x:c>
      <x:c r="J208" s="40" t="n">
        <x:v>484.54</x:v>
      </x:c>
      <x:c r="K208" s="16" t="str">
        <x:v>Novo</x:v>
      </x:c>
      <x:c r="L208" s="16" t="str">
        <x:v>Em aberto</x:v>
      </x:c>
      <x:c r="M208" s="16" t="str">
        <x:v>99afc73c-9bc2-4a2f-8104-75f3b39d098d</x:v>
      </x:c>
      <x:c r="N208" s="41" t="str"/>
    </x:row>
    <x:row r="209">
      <x:c r="A209" s="37" t="str">
        <x:f>"55"</x:f>
        <x:v>55</x:v>
      </x:c>
      <x:c r="B209" s="38" t="str">
        <x:f>"1"</x:f>
        <x:v>1</x:v>
      </x:c>
      <x:c r="C209" s="38" t="str">
        <x:v>ROSELÍ MENDES DE OLIVEIRA</x:v>
      </x:c>
      <x:c r="D209" s="38" t="str">
        <x:f>"22675542830"</x:f>
        <x:v>22675542830</x:v>
      </x:c>
      <x:c r="E209" s="38" t="str">
        <x:f>"11910974043"</x:f>
        <x:v>11910974043</x:v>
      </x:c>
      <x:c r="F209" s="38" t="str">
        <x:v>roselylica765@gmail.com</x:v>
      </x:c>
      <x:c r="G209" s="39" t="n">
        <x:v>46125</x:v>
      </x:c>
      <x:c r="H209" s="16" t="str">
        <x:v>04/2026</x:v>
      </x:c>
      <x:c r="I209" s="40" t="n">
        <x:v>462.92</x:v>
      </x:c>
      <x:c r="J209" s="40" t="n">
        <x:v>492.82</x:v>
      </x:c>
      <x:c r="K209" s="16" t="str">
        <x:v>Novo</x:v>
      </x:c>
      <x:c r="L209" s="16" t="str">
        <x:v>Em aberto</x:v>
      </x:c>
      <x:c r="M209" s="16" t="str">
        <x:v>785a1556-884e-4c88-b1ad-20f40cd1e17f</x:v>
      </x:c>
      <x:c r="N209" s="41" t="str"/>
    </x:row>
    <x:row r="210">
      <x:c r="A210" s="37" t="str">
        <x:f>"55"</x:f>
        <x:v>55</x:v>
      </x:c>
      <x:c r="B210" s="38" t="str">
        <x:f>"3"</x:f>
        <x:v>3</x:v>
      </x:c>
      <x:c r="C210" s="38" t="str">
        <x:v>CLEITON SILVA MARCOLINO</x:v>
      </x:c>
      <x:c r="D210" s="38" t="str">
        <x:f>"50036377805"</x:f>
        <x:v>50036377805</x:v>
      </x:c>
      <x:c r="E210" s="38" t="str">
        <x:f>"11948246733"</x:f>
        <x:v>11948246733</x:v>
      </x:c>
      <x:c r="F210" s="38" t="str">
        <x:v>cleitonmarcolino110@gmail.com</x:v>
      </x:c>
      <x:c r="G210" s="39" t="n">
        <x:v>46125</x:v>
      </x:c>
      <x:c r="H210" s="16" t="str">
        <x:v>04/2026</x:v>
      </x:c>
      <x:c r="I210" s="40" t="n">
        <x:v>447.25</x:v>
      </x:c>
      <x:c r="J210" s="40" t="n">
        <x:v>476.15</x:v>
      </x:c>
      <x:c r="K210" s="16" t="str">
        <x:v>Novo</x:v>
      </x:c>
      <x:c r="L210" s="16" t="str">
        <x:v>Em aberto</x:v>
      </x:c>
      <x:c r="M210" s="16" t="str">
        <x:v>f28b8017-8c9c-435a-a708-4e3fd6943f6e</x:v>
      </x:c>
      <x:c r="N210" s="41" t="str"/>
    </x:row>
    <x:row r="211">
      <x:c r="A211" s="37" t="str">
        <x:f>"55"</x:f>
        <x:v>55</x:v>
      </x:c>
      <x:c r="B211" s="38" t="str">
        <x:f>"1"</x:f>
        <x:v>1</x:v>
      </x:c>
      <x:c r="C211" s="38" t="str">
        <x:v>ROSELÍ MENDES DE OLIVEIRA</x:v>
      </x:c>
      <x:c r="D211" s="38" t="str">
        <x:f>"22675542830"</x:f>
        <x:v>22675542830</x:v>
      </x:c>
      <x:c r="E211" s="38" t="str">
        <x:f>"11910974043"</x:f>
        <x:v>11910974043</x:v>
      </x:c>
      <x:c r="F211" s="38" t="str">
        <x:v>roselylica765@gmail.com</x:v>
      </x:c>
      <x:c r="G211" s="39" t="n">
        <x:v>46152</x:v>
      </x:c>
      <x:c r="H211" s="16" t="str">
        <x:v>05/2026</x:v>
      </x:c>
      <x:c r="I211" s="40" t="n">
        <x:v>446.92</x:v>
      </x:c>
      <x:c r="J211" s="40" t="n">
        <x:v>469.12</x:v>
      </x:c>
      <x:c r="K211" s="16" t="str">
        <x:v>Novo</x:v>
      </x:c>
      <x:c r="L211" s="16" t="str">
        <x:v>Em aberto</x:v>
      </x:c>
      <x:c r="M211" s="16" t="str">
        <x:v>a9c154cd-bae8-4b49-9b6d-df00561d0fe1</x:v>
      </x:c>
      <x:c r="N211" s="41" t="str"/>
    </x:row>
    <x:row r="212">
      <x:c r="A212" s="37" t="str">
        <x:f>"57"</x:f>
        <x:v>57</x:v>
      </x:c>
      <x:c r="B212" s="38" t="str">
        <x:f>"3"</x:f>
        <x:v>3</x:v>
      </x:c>
      <x:c r="C212" s="38" t="str">
        <x:v>WESLEY DA LUZ FERREIRA</x:v>
      </x:c>
      <x:c r="D212" s="38" t="str">
        <x:f>"38203018874"</x:f>
        <x:v>38203018874</x:v>
      </x:c>
      <x:c r="E212" s="38" t="str">
        <x:f>"11946817503"</x:f>
        <x:v>11946817503</x:v>
      </x:c>
      <x:c r="F212" s="38" t="str">
        <x:v>wesleyluzferreira@gmail.com</x:v>
      </x:c>
      <x:c r="G212" s="39" t="n">
        <x:v>46063</x:v>
      </x:c>
      <x:c r="H212" s="16" t="str">
        <x:v>02/2026</x:v>
      </x:c>
      <x:c r="I212" s="40" t="n">
        <x:v>426.2</x:v>
      </x:c>
      <x:c r="J212" s="40" t="n">
        <x:v>467.36</x:v>
      </x:c>
      <x:c r="K212" s="16" t="str">
        <x:v>Novo</x:v>
      </x:c>
      <x:c r="L212" s="16" t="str">
        <x:v>Em aberto</x:v>
      </x:c>
      <x:c r="M212" s="16" t="str">
        <x:v>12d00e4d-0616-4638-92d8-552fcab13fdd</x:v>
      </x:c>
      <x:c r="N212" s="41" t="str"/>
    </x:row>
    <x:row r="213">
      <x:c r="A213" s="37" t="str">
        <x:f>"57"</x:f>
        <x:v>57</x:v>
      </x:c>
      <x:c r="B213" s="38" t="str">
        <x:f>"3"</x:f>
        <x:v>3</x:v>
      </x:c>
      <x:c r="C213" s="38" t="str">
        <x:v>WESLEY DA LUZ FERREIRA</x:v>
      </x:c>
      <x:c r="D213" s="38" t="str">
        <x:f>"38203018874"</x:f>
        <x:v>38203018874</x:v>
      </x:c>
      <x:c r="E213" s="38" t="str">
        <x:f>"11946817503"</x:f>
        <x:v>11946817503</x:v>
      </x:c>
      <x:c r="F213" s="38" t="str">
        <x:v>wesleyluzferreira@gmail.com</x:v>
      </x:c>
      <x:c r="G213" s="39" t="n">
        <x:v>46091</x:v>
      </x:c>
      <x:c r="H213" s="16" t="str">
        <x:v>03/2026</x:v>
      </x:c>
      <x:c r="I213" s="40" t="n">
        <x:v>431.37</x:v>
      </x:c>
      <x:c r="J213" s="40" t="n">
        <x:v>467.6</x:v>
      </x:c>
      <x:c r="K213" s="16" t="str">
        <x:v>Novo</x:v>
      </x:c>
      <x:c r="L213" s="16" t="str">
        <x:v>Em aberto</x:v>
      </x:c>
      <x:c r="M213" s="16" t="str">
        <x:v>f7957398-d8fe-4fc0-a3e2-8916146b21b0</x:v>
      </x:c>
      <x:c r="N213" s="41" t="str"/>
    </x:row>
    <x:row r="214">
      <x:c r="A214" s="37" t="str">
        <x:f>"57"</x:f>
        <x:v>57</x:v>
      </x:c>
      <x:c r="B214" s="38" t="str">
        <x:f>"3"</x:f>
        <x:v>3</x:v>
      </x:c>
      <x:c r="C214" s="38" t="str">
        <x:v>WESLEY DA LUZ FERREIRA</x:v>
      </x:c>
      <x:c r="D214" s="38" t="str">
        <x:f>"38203018874"</x:f>
        <x:v>38203018874</x:v>
      </x:c>
      <x:c r="E214" s="38" t="str">
        <x:f>"11946817503"</x:f>
        <x:v>11946817503</x:v>
      </x:c>
      <x:c r="F214" s="38" t="str">
        <x:v>wesleyluzferreira@gmail.com</x:v>
      </x:c>
      <x:c r="G214" s="39" t="n">
        <x:v>46125</x:v>
      </x:c>
      <x:c r="H214" s="16" t="str">
        <x:v>04/2026</x:v>
      </x:c>
      <x:c r="I214" s="40" t="n">
        <x:v>432.83</x:v>
      </x:c>
      <x:c r="J214" s="40" t="n">
        <x:v>460.8</x:v>
      </x:c>
      <x:c r="K214" s="16" t="str">
        <x:v>Novo</x:v>
      </x:c>
      <x:c r="L214" s="16" t="str">
        <x:v>Em aberto</x:v>
      </x:c>
      <x:c r="M214" s="16" t="str">
        <x:v>54dfcc5b-e521-4738-a52c-69a97d516086</x:v>
      </x:c>
      <x:c r="N214" s="41" t="str"/>
    </x:row>
    <x:row r="215">
      <x:c r="A215" s="37" t="str">
        <x:f>"57"</x:f>
        <x:v>57</x:v>
      </x:c>
      <x:c r="B215" s="38" t="str">
        <x:f>"2"</x:f>
        <x:v>2</x:v>
      </x:c>
      <x:c r="C215" s="38" t="str">
        <x:v>ROBERTA RIBEIRO</x:v>
      </x:c>
      <x:c r="D215" s="38" t="str">
        <x:f>"27604609830"</x:f>
        <x:v>27604609830</x:v>
      </x:c>
      <x:c r="E215" s="38" t="str">
        <x:f>"1169833085"</x:f>
        <x:v>1169833085</x:v>
      </x:c>
      <x:c r="F215" s="38" t="str">
        <x:v>robertadell@hotmail.com</x:v>
      </x:c>
      <x:c r="G215" s="39" t="n">
        <x:v>46125</x:v>
      </x:c>
      <x:c r="H215" s="16" t="str">
        <x:v>04/2026</x:v>
      </x:c>
      <x:c r="I215" s="40" t="n">
        <x:v>432.83</x:v>
      </x:c>
      <x:c r="J215" s="40" t="n">
        <x:v>460.8</x:v>
      </x:c>
      <x:c r="K215" s="16" t="str">
        <x:v>Novo</x:v>
      </x:c>
      <x:c r="L215" s="16" t="str">
        <x:v>Em aberto</x:v>
      </x:c>
      <x:c r="M215" s="16" t="str">
        <x:v>956b53e3-b262-433c-902c-c59618b4dd22</x:v>
      </x:c>
      <x:c r="N215" s="41" t="str"/>
    </x:row>
    <x:row r="216">
      <x:c r="A216" s="37" t="str">
        <x:f>"57"</x:f>
        <x:v>57</x:v>
      </x:c>
      <x:c r="B216" s="38" t="str">
        <x:f>"3"</x:f>
        <x:v>3</x:v>
      </x:c>
      <x:c r="C216" s="38" t="str">
        <x:v>WESLEY DA LUZ FERREIRA</x:v>
      </x:c>
      <x:c r="D216" s="38" t="str">
        <x:f>"38203018874"</x:f>
        <x:v>38203018874</x:v>
      </x:c>
      <x:c r="E216" s="38" t="str">
        <x:f>"11946817503"</x:f>
        <x:v>11946817503</x:v>
      </x:c>
      <x:c r="F216" s="38" t="str">
        <x:v>wesleyluzferreira@gmail.com</x:v>
      </x:c>
      <x:c r="G216" s="39" t="n">
        <x:v>46152</x:v>
      </x:c>
      <x:c r="H216" s="16" t="str">
        <x:v>05/2026</x:v>
      </x:c>
      <x:c r="I216" s="40" t="n">
        <x:v>417.87</x:v>
      </x:c>
      <x:c r="J216" s="40" t="n">
        <x:v>438.62</x:v>
      </x:c>
      <x:c r="K216" s="16" t="str">
        <x:v>Novo</x:v>
      </x:c>
      <x:c r="L216" s="16" t="str">
        <x:v>Em aberto</x:v>
      </x:c>
      <x:c r="M216" s="16" t="str">
        <x:v>a5431acf-4224-4e0c-86af-ee65754c88cd</x:v>
      </x:c>
      <x:c r="N216" s="41" t="str"/>
    </x:row>
    <x:row r="217">
      <x:c r="A217" s="37" t="str">
        <x:f>"57"</x:f>
        <x:v>57</x:v>
      </x:c>
      <x:c r="B217" s="38" t="str">
        <x:f>"2"</x:f>
        <x:v>2</x:v>
      </x:c>
      <x:c r="C217" s="38" t="str">
        <x:v>ROBERTA RIBEIRO</x:v>
      </x:c>
      <x:c r="D217" s="38" t="str">
        <x:f>"27604609830"</x:f>
        <x:v>27604609830</x:v>
      </x:c>
      <x:c r="E217" s="38" t="str">
        <x:f>"1169833085"</x:f>
        <x:v>1169833085</x:v>
      </x:c>
      <x:c r="F217" s="38" t="str">
        <x:v>robertadell@hotmail.com</x:v>
      </x:c>
      <x:c r="G217" s="39" t="n">
        <x:v>46152</x:v>
      </x:c>
      <x:c r="H217" s="16" t="str">
        <x:v>05/2026</x:v>
      </x:c>
      <x:c r="I217" s="40" t="n">
        <x:v>417.87</x:v>
      </x:c>
      <x:c r="J217" s="40" t="n">
        <x:v>438.62</x:v>
      </x:c>
      <x:c r="K217" s="16" t="str">
        <x:v>Novo</x:v>
      </x:c>
      <x:c r="L217" s="16" t="str">
        <x:v>Em aberto</x:v>
      </x:c>
      <x:c r="M217" s="16" t="str">
        <x:v>9a557965-0831-4aed-a57a-69caba547a39</x:v>
      </x:c>
      <x:c r="N217" s="41" t="str"/>
    </x:row>
    <x:row r="218">
      <x:c r="A218" s="37" t="str">
        <x:f>"57"</x:f>
        <x:v>57</x:v>
      </x:c>
      <x:c r="B218" s="38" t="str">
        <x:f>"3"</x:f>
        <x:v>3</x:v>
      </x:c>
      <x:c r="C218" s="38" t="str">
        <x:v>WESLEY DA LUZ FERREIRA</x:v>
      </x:c>
      <x:c r="D218" s="38" t="str">
        <x:f>"38203018874"</x:f>
        <x:v>38203018874</x:v>
      </x:c>
      <x:c r="E218" s="38" t="str">
        <x:f>"11946817503"</x:f>
        <x:v>11946817503</x:v>
      </x:c>
      <x:c r="F218" s="38" t="str">
        <x:v>wesleyluzferreira@gmail.com</x:v>
      </x:c>
      <x:c r="G218" s="39" t="n">
        <x:v>46183</x:v>
      </x:c>
      <x:c r="H218" s="16" t="str">
        <x:v>06/2026</x:v>
      </x:c>
      <x:c r="I218" s="40" t="n">
        <x:v>439.74</x:v>
      </x:c>
      <x:c r="J218" s="40" t="n">
        <x:v>453.02</x:v>
      </x:c>
      <x:c r="K218" s="16" t="str">
        <x:v>Novo</x:v>
      </x:c>
      <x:c r="L218" s="16" t="str">
        <x:v>Em aberto</x:v>
      </x:c>
      <x:c r="M218" s="16" t="str">
        <x:v>a95c2228-7fdb-4194-977b-20e6d7ec1dd5</x:v>
      </x:c>
      <x:c r="N218" s="41" t="str"/>
    </x:row>
    <x:row r="219">
      <x:c r="A219" s="37" t="str">
        <x:f>"57"</x:f>
        <x:v>57</x:v>
      </x:c>
      <x:c r="B219" s="38" t="str">
        <x:f>"2"</x:f>
        <x:v>2</x:v>
      </x:c>
      <x:c r="C219" s="38" t="str">
        <x:v>ROBERTA RIBEIRO</x:v>
      </x:c>
      <x:c r="D219" s="38" t="str">
        <x:f>"27604609830"</x:f>
        <x:v>27604609830</x:v>
      </x:c>
      <x:c r="E219" s="38" t="str">
        <x:f>"1169833085"</x:f>
        <x:v>1169833085</x:v>
      </x:c>
      <x:c r="F219" s="38" t="str">
        <x:v>robertadell@hotmail.com</x:v>
      </x:c>
      <x:c r="G219" s="39" t="n">
        <x:v>46183</x:v>
      </x:c>
      <x:c r="H219" s="16" t="str">
        <x:v>06/2026</x:v>
      </x:c>
      <x:c r="I219" s="40" t="n">
        <x:v>439.74</x:v>
      </x:c>
      <x:c r="J219" s="40" t="n">
        <x:v>453.02</x:v>
      </x:c>
      <x:c r="K219" s="16" t="str">
        <x:v>Novo</x:v>
      </x:c>
      <x:c r="L219" s="16" t="str">
        <x:v>Em aberto</x:v>
      </x:c>
      <x:c r="M219" s="16" t="str">
        <x:v>ed33fa32-f39d-4fa4-a926-69405b23d2fd</x:v>
      </x:c>
      <x:c r="N219" s="41" t="str"/>
    </x:row>
    <x:row r="220">
      <x:c r="A220" s="37" t="str">
        <x:f>"57"</x:f>
        <x:v>57</x:v>
      </x:c>
      <x:c r="B220" s="38" t="str">
        <x:f>"5"</x:f>
        <x:v>5</x:v>
      </x:c>
      <x:c r="C220" s="38" t="str">
        <x:v>MARIA APARECIDA OLIVEIRA DOS SANTOS</x:v>
      </x:c>
      <x:c r="D220" s="38" t="str">
        <x:f>"05427902465"</x:f>
        <x:v>05427902465</x:v>
      </x:c>
      <x:c r="E220" s="38" t="str">
        <x:f>"1957331986"</x:f>
        <x:v>1957331986</x:v>
      </x:c>
      <x:c r="F220" s="38" t="str">
        <x:v>aparecidaoliveira26@bol.com.br</x:v>
      </x:c>
      <x:c r="G220" s="39" t="n">
        <x:v>46183</x:v>
      </x:c>
      <x:c r="H220" s="16" t="str">
        <x:v>06/2026</x:v>
      </x:c>
      <x:c r="I220" s="40" t="n">
        <x:v>439.74</x:v>
      </x:c>
      <x:c r="J220" s="40" t="n">
        <x:v>453.02</x:v>
      </x:c>
      <x:c r="K220" s="16" t="str">
        <x:v>Novo</x:v>
      </x:c>
      <x:c r="L220" s="16" t="str">
        <x:v>Em aberto</x:v>
      </x:c>
      <x:c r="M220" s="16" t="str">
        <x:v>d149ca80-b8a9-41ff-b5e5-d4bff6589afd</x:v>
      </x:c>
      <x:c r="N220" s="41" t="str"/>
    </x:row>
    <x:row r="221">
      <x:c r="A221" s="37" t="str">
        <x:f>"62"</x:f>
        <x:v>62</x:v>
      </x:c>
      <x:c r="B221" s="38" t="str">
        <x:f>"3"</x:f>
        <x:v>3</x:v>
      </x:c>
      <x:c r="C221" s="38" t="str">
        <x:v>MARIVALDO RIBEIRO JUNIOR</x:v>
      </x:c>
      <x:c r="D221" s="38" t="str">
        <x:f>"35950702832"</x:f>
        <x:v>35950702832</x:v>
      </x:c>
      <x:c r="E221" s="38" t="str">
        <x:f>"1170330227"</x:f>
        <x:v>1170330227</x:v>
      </x:c>
      <x:c r="F221" s="38" t="str">
        <x:v>marivaldo.procisa.net@gmail.com</x:v>
      </x:c>
      <x:c r="G221" s="39" t="n">
        <x:v>46063</x:v>
      </x:c>
      <x:c r="H221" s="16" t="str">
        <x:v>02/2026</x:v>
      </x:c>
      <x:c r="I221" s="40" t="n">
        <x:v>426.2</x:v>
      </x:c>
      <x:c r="J221" s="40" t="n">
        <x:v>467.36</x:v>
      </x:c>
      <x:c r="K221" s="16" t="str">
        <x:v>Novo</x:v>
      </x:c>
      <x:c r="L221" s="16" t="str">
        <x:v>Em aberto</x:v>
      </x:c>
      <x:c r="M221" s="16" t="str">
        <x:v>e0eba353-4f14-4450-87c7-57d9342ac209</x:v>
      </x:c>
      <x:c r="N221" s="41" t="str"/>
    </x:row>
    <x:row r="222">
      <x:c r="A222" s="37" t="str">
        <x:f>"62"</x:f>
        <x:v>62</x:v>
      </x:c>
      <x:c r="B222" s="38" t="str">
        <x:f>"3"</x:f>
        <x:v>3</x:v>
      </x:c>
      <x:c r="C222" s="38" t="str">
        <x:v>MARIVALDO RIBEIRO JUNIOR</x:v>
      </x:c>
      <x:c r="D222" s="38" t="str">
        <x:f>"35950702832"</x:f>
        <x:v>35950702832</x:v>
      </x:c>
      <x:c r="E222" s="38" t="str">
        <x:f>"1170330227"</x:f>
        <x:v>1170330227</x:v>
      </x:c>
      <x:c r="F222" s="38" t="str">
        <x:v>marivaldo.procisa.net@gmail.com</x:v>
      </x:c>
      <x:c r="G222" s="39" t="n">
        <x:v>46091</x:v>
      </x:c>
      <x:c r="H222" s="16" t="str">
        <x:v>03/2026</x:v>
      </x:c>
      <x:c r="I222" s="40" t="n">
        <x:v>431.37</x:v>
      </x:c>
      <x:c r="J222" s="40" t="n">
        <x:v>467.6</x:v>
      </x:c>
      <x:c r="K222" s="16" t="str">
        <x:v>Novo</x:v>
      </x:c>
      <x:c r="L222" s="16" t="str">
        <x:v>Em aberto</x:v>
      </x:c>
      <x:c r="M222" s="16" t="str">
        <x:v>3b713660-0edf-42e7-b833-f22cb4e9d36b</x:v>
      </x:c>
      <x:c r="N222" s="41" t="str"/>
    </x:row>
    <x:row r="223">
      <x:c r="A223" s="37" t="str">
        <x:f>"62"</x:f>
        <x:v>62</x:v>
      </x:c>
      <x:c r="B223" s="38" t="str">
        <x:f>"3"</x:f>
        <x:v>3</x:v>
      </x:c>
      <x:c r="C223" s="38" t="str">
        <x:v>MARIVALDO RIBEIRO JUNIOR</x:v>
      </x:c>
      <x:c r="D223" s="38" t="str">
        <x:f>"35950702832"</x:f>
        <x:v>35950702832</x:v>
      </x:c>
      <x:c r="E223" s="38" t="str">
        <x:f>"1170330227"</x:f>
        <x:v>1170330227</x:v>
      </x:c>
      <x:c r="F223" s="38" t="str">
        <x:v>marivaldo.procisa.net@gmail.com</x:v>
      </x:c>
      <x:c r="G223" s="39" t="n">
        <x:v>46125</x:v>
      </x:c>
      <x:c r="H223" s="16" t="str">
        <x:v>04/2026</x:v>
      </x:c>
      <x:c r="I223" s="40" t="n">
        <x:v>432.83</x:v>
      </x:c>
      <x:c r="J223" s="40" t="n">
        <x:v>460.8</x:v>
      </x:c>
      <x:c r="K223" s="16" t="str">
        <x:v>Novo</x:v>
      </x:c>
      <x:c r="L223" s="16" t="str">
        <x:v>Em aberto</x:v>
      </x:c>
      <x:c r="M223" s="16" t="str">
        <x:v>d068be00-02e7-449f-805b-064d7cac8392</x:v>
      </x:c>
      <x:c r="N223" s="41" t="str"/>
    </x:row>
    <x:row r="224">
      <x:c r="A224" s="37" t="str">
        <x:f>"62"</x:f>
        <x:v>62</x:v>
      </x:c>
      <x:c r="B224" s="38" t="str">
        <x:f>"3"</x:f>
        <x:v>3</x:v>
      </x:c>
      <x:c r="C224" s="38" t="str">
        <x:v>MARIVALDO RIBEIRO JUNIOR</x:v>
      </x:c>
      <x:c r="D224" s="38" t="str">
        <x:f>"35950702832"</x:f>
        <x:v>35950702832</x:v>
      </x:c>
      <x:c r="E224" s="38" t="str">
        <x:f>"1170330227"</x:f>
        <x:v>1170330227</x:v>
      </x:c>
      <x:c r="F224" s="38" t="str">
        <x:v>marivaldo.procisa.net@gmail.com</x:v>
      </x:c>
      <x:c r="G224" s="39" t="n">
        <x:v>46152</x:v>
      </x:c>
      <x:c r="H224" s="16" t="str">
        <x:v>05/2026</x:v>
      </x:c>
      <x:c r="I224" s="40" t="n">
        <x:v>417.87</x:v>
      </x:c>
      <x:c r="J224" s="40" t="n">
        <x:v>438.62</x:v>
      </x:c>
      <x:c r="K224" s="16" t="str">
        <x:v>Novo</x:v>
      </x:c>
      <x:c r="L224" s="16" t="str">
        <x:v>Em aberto</x:v>
      </x:c>
      <x:c r="M224" s="16" t="str">
        <x:v>0f89ac6e-eb97-4252-a856-b0b10b12a6f1</x:v>
      </x:c>
      <x:c r="N224" s="41" t="str"/>
    </x:row>
    <x:row r="225">
      <x:c r="A225" s="37" t="str">
        <x:f>"62"</x:f>
        <x:v>62</x:v>
      </x:c>
      <x:c r="B225" s="38" t="str">
        <x:f>"3"</x:f>
        <x:v>3</x:v>
      </x:c>
      <x:c r="C225" s="38" t="str">
        <x:v>MARIVALDO RIBEIRO JUNIOR</x:v>
      </x:c>
      <x:c r="D225" s="38" t="str">
        <x:f>"35950702832"</x:f>
        <x:v>35950702832</x:v>
      </x:c>
      <x:c r="E225" s="38" t="str">
        <x:f>"1170330227"</x:f>
        <x:v>1170330227</x:v>
      </x:c>
      <x:c r="F225" s="38" t="str">
        <x:v>marivaldo.procisa.net@gmail.com</x:v>
      </x:c>
      <x:c r="G225" s="39" t="n">
        <x:v>46183</x:v>
      </x:c>
      <x:c r="H225" s="16" t="str">
        <x:v>06/2026</x:v>
      </x:c>
      <x:c r="I225" s="40" t="n">
        <x:v>439.74</x:v>
      </x:c>
      <x:c r="J225" s="40" t="n">
        <x:v>453.02</x:v>
      </x:c>
      <x:c r="K225" s="16" t="str">
        <x:v>Novo</x:v>
      </x:c>
      <x:c r="L225" s="16" t="str">
        <x:v>Em aberto</x:v>
      </x:c>
      <x:c r="M225" s="16" t="str">
        <x:v>dd0430c0-b4d4-47f2-ba52-8be276f1b949</x:v>
      </x:c>
      <x:c r="N225" s="41" t="str"/>
    </x:row>
    <x:row r="226">
      <x:c r="A226" s="37" t="str">
        <x:f>"63"</x:f>
        <x:v>63</x:v>
      </x:c>
      <x:c r="B226" s="38" t="str">
        <x:f>"3"</x:f>
        <x:v>3</x:v>
      </x:c>
      <x:c r="C226" s="38" t="str">
        <x:v>JAIMILSON DOS SANTOS</x:v>
      </x:c>
      <x:c r="D226" s="38" t="str">
        <x:f>"03382853507"</x:f>
        <x:v>03382853507</x:v>
      </x:c>
      <x:c r="E226" s="38" t="str">
        <x:f>"11984716214"</x:f>
        <x:v>11984716214</x:v>
      </x:c>
      <x:c r="F226" s="38" t="str">
        <x:v>jaimilsondsf@gmail.com</x:v>
      </x:c>
      <x:c r="G226" s="39" t="n">
        <x:v>46063</x:v>
      </x:c>
      <x:c r="H226" s="16" t="str">
        <x:v>02/2026</x:v>
      </x:c>
      <x:c r="I226" s="40" t="n">
        <x:v>426.2</x:v>
      </x:c>
      <x:c r="J226" s="40" t="n">
        <x:v>467.36</x:v>
      </x:c>
      <x:c r="K226" s="16" t="str">
        <x:v>Novo</x:v>
      </x:c>
      <x:c r="L226" s="16" t="str">
        <x:v>Em aberto</x:v>
      </x:c>
      <x:c r="M226" s="16" t="str">
        <x:v>b2590758-d5bf-422c-b36a-50a518b7bf97</x:v>
      </x:c>
      <x:c r="N226" s="41" t="str"/>
    </x:row>
    <x:row r="227">
      <x:c r="A227" s="37" t="str">
        <x:f>"63"</x:f>
        <x:v>63</x:v>
      </x:c>
      <x:c r="B227" s="38" t="str">
        <x:f>"3"</x:f>
        <x:v>3</x:v>
      </x:c>
      <x:c r="C227" s="38" t="str">
        <x:v>JAIMILSON DOS SANTOS</x:v>
      </x:c>
      <x:c r="D227" s="38" t="str">
        <x:f>"03382853507"</x:f>
        <x:v>03382853507</x:v>
      </x:c>
      <x:c r="E227" s="38" t="str">
        <x:f>"11984716214"</x:f>
        <x:v>11984716214</x:v>
      </x:c>
      <x:c r="F227" s="38" t="str">
        <x:v>jaimilsondsf@gmail.com</x:v>
      </x:c>
      <x:c r="G227" s="39" t="n">
        <x:v>46091</x:v>
      </x:c>
      <x:c r="H227" s="16" t="str">
        <x:v>03/2026</x:v>
      </x:c>
      <x:c r="I227" s="40" t="n">
        <x:v>431.37</x:v>
      </x:c>
      <x:c r="J227" s="40" t="n">
        <x:v>467.6</x:v>
      </x:c>
      <x:c r="K227" s="16" t="str">
        <x:v>Novo</x:v>
      </x:c>
      <x:c r="L227" s="16" t="str">
        <x:v>Em aberto</x:v>
      </x:c>
      <x:c r="M227" s="16" t="str">
        <x:v>f03c959c-3c73-4efb-8319-938a940a8d7a</x:v>
      </x:c>
      <x:c r="N227" s="41" t="str"/>
    </x:row>
    <x:row r="228">
      <x:c r="A228" s="37" t="str">
        <x:f>"64"</x:f>
        <x:v>64</x:v>
      </x:c>
      <x:c r="B228" s="38" t="str">
        <x:f>"2"</x:f>
        <x:v>2</x:v>
      </x:c>
      <x:c r="C228" s="38" t="str">
        <x:v>SUELI PINHEIRO LIMA</x:v>
      </x:c>
      <x:c r="D228" s="38" t="str">
        <x:f>"09248823793"</x:f>
        <x:v>09248823793</x:v>
      </x:c>
      <x:c r="E228" s="38" t="str">
        <x:f>"1965478931"</x:f>
        <x:v>1965478931</x:v>
      </x:c>
      <x:c r="F228" s="38" t="str">
        <x:v>suellyjonas@gmail.com</x:v>
      </x:c>
      <x:c r="G228" s="39" t="n">
        <x:v>46125</x:v>
      </x:c>
      <x:c r="H228" s="16" t="str">
        <x:v>04/2026</x:v>
      </x:c>
      <x:c r="I228" s="40" t="n">
        <x:v>462.92</x:v>
      </x:c>
      <x:c r="J228" s="40" t="n">
        <x:v>492.82</x:v>
      </x:c>
      <x:c r="K228" s="16" t="str">
        <x:v>Novo</x:v>
      </x:c>
      <x:c r="L228" s="16" t="str">
        <x:v>Em aberto</x:v>
      </x:c>
      <x:c r="M228" s="16" t="str">
        <x:v>3c58abb6-4cc0-4616-9e9a-b83d0de8cc26</x:v>
      </x:c>
      <x:c r="N228" s="41" t="str"/>
    </x:row>
    <x:row r="229">
      <x:c r="A229" s="37" t="str">
        <x:f>"64"</x:f>
        <x:v>64</x:v>
      </x:c>
      <x:c r="B229" s="38" t="str">
        <x:f>"2"</x:f>
        <x:v>2</x:v>
      </x:c>
      <x:c r="C229" s="38" t="str">
        <x:v>SUELI PINHEIRO LIMA</x:v>
      </x:c>
      <x:c r="D229" s="38" t="str">
        <x:f>"09248823793"</x:f>
        <x:v>09248823793</x:v>
      </x:c>
      <x:c r="E229" s="38" t="str">
        <x:f>"1965478931"</x:f>
        <x:v>1965478931</x:v>
      </x:c>
      <x:c r="F229" s="38" t="str">
        <x:v>suellyjonas@gmail.com</x:v>
      </x:c>
      <x:c r="G229" s="39" t="n">
        <x:v>46152</x:v>
      </x:c>
      <x:c r="H229" s="16" t="str">
        <x:v>05/2026</x:v>
      </x:c>
      <x:c r="I229" s="40" t="n">
        <x:v>446.92</x:v>
      </x:c>
      <x:c r="J229" s="40" t="n">
        <x:v>469.12</x:v>
      </x:c>
      <x:c r="K229" s="16" t="str">
        <x:v>Novo</x:v>
      </x:c>
      <x:c r="L229" s="16" t="str">
        <x:v>Em aberto</x:v>
      </x:c>
      <x:c r="M229" s="16" t="str">
        <x:v>6e1b41e4-c223-4622-a7c2-01258aa7aff9</x:v>
      </x:c>
      <x:c r="N229" s="41" t="str"/>
    </x:row>
    <x:row r="230">
      <x:c r="A230" s="37" t="str">
        <x:f>"64"</x:f>
        <x:v>64</x:v>
      </x:c>
      <x:c r="B230" s="38" t="str">
        <x:f>"2"</x:f>
        <x:v>2</x:v>
      </x:c>
      <x:c r="C230" s="38" t="str">
        <x:v>SUELI PINHEIRO LIMA</x:v>
      </x:c>
      <x:c r="D230" s="38" t="str">
        <x:f>"09248823793"</x:f>
        <x:v>09248823793</x:v>
      </x:c>
      <x:c r="E230" s="38" t="str">
        <x:f>"1965478931"</x:f>
        <x:v>1965478931</x:v>
      </x:c>
      <x:c r="F230" s="38" t="str">
        <x:v>suellyjonas@gmail.com</x:v>
      </x:c>
      <x:c r="G230" s="39" t="n">
        <x:v>46183</x:v>
      </x:c>
      <x:c r="H230" s="16" t="str">
        <x:v>06/2026</x:v>
      </x:c>
      <x:c r="I230" s="40" t="n">
        <x:v>470.33</x:v>
      </x:c>
      <x:c r="J230" s="40" t="n">
        <x:v>484.54</x:v>
      </x:c>
      <x:c r="K230" s="16" t="str">
        <x:v>Novo</x:v>
      </x:c>
      <x:c r="L230" s="16" t="str">
        <x:v>Em aberto</x:v>
      </x:c>
      <x:c r="M230" s="16" t="str">
        <x:v>ce14ee18-5f1c-41d6-ac44-df58bf76b406</x:v>
      </x:c>
      <x:c r="N230" s="41" t="str"/>
    </x:row>
    <x:row r="231">
      <x:c r="A231" s="37" t="str">
        <x:f>"71"</x:f>
        <x:v>71</x:v>
      </x:c>
      <x:c r="B231" s="38" t="str">
        <x:f>"3"</x:f>
        <x:v>3</x:v>
      </x:c>
      <x:c r="C231" s="38" t="str">
        <x:v>EDUARDA DE OLIVEIRA LIMA</x:v>
      </x:c>
      <x:c r="D231" s="38" t="str">
        <x:f>"39625618899"</x:f>
        <x:v>39625618899</x:v>
      </x:c>
      <x:c r="E231" s="38" t="str">
        <x:f>"11941730392"</x:f>
        <x:v>11941730392</x:v>
      </x:c>
      <x:c r="F231" s="38" t="str">
        <x:v>eduardalima.business@gmail.com</x:v>
      </x:c>
      <x:c r="G231" s="39" t="n">
        <x:v>46063</x:v>
      </x:c>
      <x:c r="H231" s="16" t="str">
        <x:v>02/2026</x:v>
      </x:c>
      <x:c r="I231" s="40" t="n">
        <x:v>440.4</x:v>
      </x:c>
      <x:c r="J231" s="40" t="n">
        <x:v>482.94</x:v>
      </x:c>
      <x:c r="K231" s="16" t="str">
        <x:v>Novo</x:v>
      </x:c>
      <x:c r="L231" s="16" t="str">
        <x:v>Em aberto</x:v>
      </x:c>
      <x:c r="M231" s="16" t="str">
        <x:v>aa934f40-4bf6-49e8-9aff-c6cc220b916f</x:v>
      </x:c>
      <x:c r="N231" s="41" t="str"/>
    </x:row>
    <x:row r="232">
      <x:c r="A232" s="37" t="str">
        <x:f>"73"</x:f>
        <x:v>73</x:v>
      </x:c>
      <x:c r="B232" s="38" t="str">
        <x:f>"1"</x:f>
        <x:v>1</x:v>
      </x:c>
      <x:c r="C232" s="38" t="str">
        <x:v>LUIZ HENRIQUE CAMPOS</x:v>
      </x:c>
      <x:c r="D232" s="38" t="str">
        <x:f>"32397510898"</x:f>
        <x:v>32397510898</x:v>
      </x:c>
      <x:c r="E232" s="38" t="str">
        <x:f>"11968814417"</x:f>
        <x:v>11968814417</x:v>
      </x:c>
      <x:c r="F232" s="38" t="str">
        <x:v>luizhenrycampos@gmail.com</x:v>
      </x:c>
      <x:c r="G232" s="39" t="n">
        <x:v>46063</x:v>
      </x:c>
      <x:c r="H232" s="16" t="str">
        <x:v>02/2026</x:v>
      </x:c>
      <x:c r="I232" s="40" t="n">
        <x:v>441.62</x:v>
      </x:c>
      <x:c r="J232" s="40" t="n">
        <x:v>484.27</x:v>
      </x:c>
      <x:c r="K232" s="16" t="str">
        <x:v>Novo</x:v>
      </x:c>
      <x:c r="L232" s="16" t="str">
        <x:v>Em aberto</x:v>
      </x:c>
      <x:c r="M232" s="16" t="str">
        <x:v>910b443f-f7d3-44ae-ae74-0ec771ecd18e</x:v>
      </x:c>
      <x:c r="N232" s="41" t="str"/>
    </x:row>
    <x:row r="233">
      <x:c r="A233" s="37" t="str">
        <x:f>"73"</x:f>
        <x:v>73</x:v>
      </x:c>
      <x:c r="B233" s="38" t="str">
        <x:f>"1"</x:f>
        <x:v>1</x:v>
      </x:c>
      <x:c r="C233" s="38" t="str">
        <x:v>LUIZ HENRIQUE CAMPOS</x:v>
      </x:c>
      <x:c r="D233" s="38" t="str">
        <x:f>"32397510898"</x:f>
        <x:v>32397510898</x:v>
      </x:c>
      <x:c r="E233" s="38" t="str">
        <x:f>"11968814417"</x:f>
        <x:v>11968814417</x:v>
      </x:c>
      <x:c r="F233" s="38" t="str">
        <x:v>luizhenrycampos@gmail.com</x:v>
      </x:c>
      <x:c r="G233" s="39" t="n">
        <x:v>46091</x:v>
      </x:c>
      <x:c r="H233" s="16" t="str">
        <x:v>03/2026</x:v>
      </x:c>
      <x:c r="I233" s="40" t="n">
        <x:v>446.98</x:v>
      </x:c>
      <x:c r="J233" s="40" t="n">
        <x:v>484.53</x:v>
      </x:c>
      <x:c r="K233" s="16" t="str">
        <x:v>Novo</x:v>
      </x:c>
      <x:c r="L233" s="16" t="str">
        <x:v>Em aberto</x:v>
      </x:c>
      <x:c r="M233" s="16" t="str">
        <x:v>19e04358-2ec8-4ae6-a78a-37a1eec3cbf2</x:v>
      </x:c>
      <x:c r="N233" s="41" t="str"/>
    </x:row>
    <x:row r="234">
      <x:c r="A234" s="37" t="str">
        <x:f>"73"</x:f>
        <x:v>73</x:v>
      </x:c>
      <x:c r="B234" s="38" t="str">
        <x:f>"1"</x:f>
        <x:v>1</x:v>
      </x:c>
      <x:c r="C234" s="38" t="str">
        <x:v>LUIZ HENRIQUE CAMPOS</x:v>
      </x:c>
      <x:c r="D234" s="38" t="str">
        <x:f>"32397510898"</x:f>
        <x:v>32397510898</x:v>
      </x:c>
      <x:c r="E234" s="38" t="str">
        <x:f>"11968814417"</x:f>
        <x:v>11968814417</x:v>
      </x:c>
      <x:c r="F234" s="38" t="str">
        <x:v>luizhenrycampos@gmail.com</x:v>
      </x:c>
      <x:c r="G234" s="39" t="n">
        <x:v>46125</x:v>
      </x:c>
      <x:c r="H234" s="16" t="str">
        <x:v>04/2026</x:v>
      </x:c>
      <x:c r="I234" s="40" t="n">
        <x:v>448.49</x:v>
      </x:c>
      <x:c r="J234" s="40" t="n">
        <x:v>477.47</x:v>
      </x:c>
      <x:c r="K234" s="16" t="str">
        <x:v>Novo</x:v>
      </x:c>
      <x:c r="L234" s="16" t="str">
        <x:v>Em aberto</x:v>
      </x:c>
      <x:c r="M234" s="16" t="str">
        <x:v>b809d9a7-7ab2-4012-9a80-2a30ae1caae6</x:v>
      </x:c>
      <x:c r="N234" s="41" t="str"/>
    </x:row>
    <x:row r="235">
      <x:c r="A235" s="37" t="str">
        <x:f>"73"</x:f>
        <x:v>73</x:v>
      </x:c>
      <x:c r="B235" s="38" t="str">
        <x:f>"1"</x:f>
        <x:v>1</x:v>
      </x:c>
      <x:c r="C235" s="38" t="str">
        <x:v>LUIZ HENRIQUE CAMPOS</x:v>
      </x:c>
      <x:c r="D235" s="38" t="str">
        <x:f>"32397510898"</x:f>
        <x:v>32397510898</x:v>
      </x:c>
      <x:c r="E235" s="38" t="str">
        <x:f>"11968814417"</x:f>
        <x:v>11968814417</x:v>
      </x:c>
      <x:c r="F235" s="38" t="str">
        <x:v>luizhenrycampos@gmail.com</x:v>
      </x:c>
      <x:c r="G235" s="39" t="n">
        <x:v>46152</x:v>
      </x:c>
      <x:c r="H235" s="16" t="str">
        <x:v>05/2026</x:v>
      </x:c>
      <x:c r="I235" s="40" t="n">
        <x:v>432.99</x:v>
      </x:c>
      <x:c r="J235" s="40" t="n">
        <x:v>454.49</x:v>
      </x:c>
      <x:c r="K235" s="16" t="str">
        <x:v>Novo</x:v>
      </x:c>
      <x:c r="L235" s="16" t="str">
        <x:v>Em aberto</x:v>
      </x:c>
      <x:c r="M235" s="16" t="str">
        <x:v>99608207-ac6c-4be9-9291-49b2d5ee25c3</x:v>
      </x:c>
      <x:c r="N235" s="41" t="str"/>
    </x:row>
    <x:row r="236">
      <x:c r="A236" s="37" t="str">
        <x:f>"73"</x:f>
        <x:v>73</x:v>
      </x:c>
      <x:c r="B236" s="38" t="str">
        <x:f>"4"</x:f>
        <x:v>4</x:v>
      </x:c>
      <x:c r="C236" s="38" t="str">
        <x:v>GUILHERME RIOS DA SILVA</x:v>
      </x:c>
      <x:c r="D236" s="38" t="str">
        <x:f>"36559887880"</x:f>
        <x:v>36559887880</x:v>
      </x:c>
      <x:c r="E236" s="38" t="str">
        <x:f>"11970810254"</x:f>
        <x:v>11970810254</x:v>
      </x:c>
      <x:c r="F236" s="38" t="str">
        <x:v>guiriosdasilva@gmail.com</x:v>
      </x:c>
      <x:c r="G236" s="39" t="n">
        <x:v>46183</x:v>
      </x:c>
      <x:c r="H236" s="16" t="str">
        <x:v>06/2026</x:v>
      </x:c>
      <x:c r="I236" s="40" t="n">
        <x:v>439.74</x:v>
      </x:c>
      <x:c r="J236" s="40" t="n">
        <x:v>453.02</x:v>
      </x:c>
      <x:c r="K236" s="16" t="str">
        <x:v>Novo</x:v>
      </x:c>
      <x:c r="L236" s="16" t="str">
        <x:v>Em aberto</x:v>
      </x:c>
      <x:c r="M236" s="16" t="str">
        <x:v>79cbe80b-5f4d-47b8-95e6-a0b1e992995a</x:v>
      </x:c>
      <x:c r="N236" s="41" t="str"/>
    </x:row>
    <x:row r="237">
      <x:c r="A237" s="37" t="str">
        <x:f>"73"</x:f>
        <x:v>73</x:v>
      </x:c>
      <x:c r="B237" s="38" t="str">
        <x:f>"1"</x:f>
        <x:v>1</x:v>
      </x:c>
      <x:c r="C237" s="38" t="str">
        <x:v>LUIZ HENRIQUE CAMPOS</x:v>
      </x:c>
      <x:c r="D237" s="38" t="str">
        <x:f>"32397510898"</x:f>
        <x:v>32397510898</x:v>
      </x:c>
      <x:c r="E237" s="38" t="str">
        <x:f>"11968814417"</x:f>
        <x:v>11968814417</x:v>
      </x:c>
      <x:c r="F237" s="38" t="str">
        <x:v>luizhenrycampos@gmail.com</x:v>
      </x:c>
      <x:c r="G237" s="39" t="n">
        <x:v>46183</x:v>
      </x:c>
      <x:c r="H237" s="16" t="str">
        <x:v>06/2026</x:v>
      </x:c>
      <x:c r="I237" s="40" t="n">
        <x:v>455.66</x:v>
      </x:c>
      <x:c r="J237" s="40" t="n">
        <x:v>469.42</x:v>
      </x:c>
      <x:c r="K237" s="16" t="str">
        <x:v>Novo</x:v>
      </x:c>
      <x:c r="L237" s="16" t="str">
        <x:v>Em aberto</x:v>
      </x:c>
      <x:c r="M237" s="16" t="str">
        <x:v>6378a123-710e-4650-add1-a371a3277f23</x:v>
      </x:c>
      <x:c r="N237" s="41" t="str"/>
    </x:row>
    <x:row r="238">
      <x:c r="A238" s="37" t="str">
        <x:f>"75"</x:f>
        <x:v>75</x:v>
      </x:c>
      <x:c r="B238" s="38" t="str">
        <x:f>"1"</x:f>
        <x:v>1</x:v>
      </x:c>
      <x:c r="C238" s="38" t="str">
        <x:v>VITOR RODRIGUES SILVA</x:v>
      </x:c>
      <x:c r="D238" s="38" t="str">
        <x:f>"40191162884"</x:f>
        <x:v>40191162884</x:v>
      </x:c>
      <x:c r="E238" s="38" t="str">
        <x:f>"11998674175"</x:f>
        <x:v>11998674175</x:v>
      </x:c>
      <x:c r="F238" s="38" t="str">
        <x:v>v.rodrigues.93@hotmail.com</x:v>
      </x:c>
      <x:c r="G238" s="39" t="n">
        <x:v>46063</x:v>
      </x:c>
      <x:c r="H238" s="16" t="str">
        <x:v>02/2026</x:v>
      </x:c>
      <x:c r="I238" s="40" t="n">
        <x:v>455.83</x:v>
      </x:c>
      <x:c r="J238" s="40" t="n">
        <x:v>499.86</x:v>
      </x:c>
      <x:c r="K238" s="16" t="str">
        <x:v>Novo</x:v>
      </x:c>
      <x:c r="L238" s="16" t="str">
        <x:v>Em aberto</x:v>
      </x:c>
      <x:c r="M238" s="16" t="str">
        <x:v>56c7a9ae-b183-4ebf-af11-ab6908ce094f</x:v>
      </x:c>
      <x:c r="N238" s="41" t="str"/>
    </x:row>
    <x:row r="239">
      <x:c r="A239" s="37" t="str">
        <x:f>"75"</x:f>
        <x:v>75</x:v>
      </x:c>
      <x:c r="B239" s="38" t="str">
        <x:f>"1"</x:f>
        <x:v>1</x:v>
      </x:c>
      <x:c r="C239" s="38" t="str">
        <x:v>VITOR RODRIGUES SILVA</x:v>
      </x:c>
      <x:c r="D239" s="38" t="str">
        <x:f>"40191162884"</x:f>
        <x:v>40191162884</x:v>
      </x:c>
      <x:c r="E239" s="38" t="str">
        <x:f>"11998674175"</x:f>
        <x:v>11998674175</x:v>
      </x:c>
      <x:c r="F239" s="38" t="str">
        <x:v>v.rodrigues.93@hotmail.com</x:v>
      </x:c>
      <x:c r="G239" s="39" t="n">
        <x:v>46091</x:v>
      </x:c>
      <x:c r="H239" s="16" t="str">
        <x:v>03/2026</x:v>
      </x:c>
      <x:c r="I239" s="40" t="n">
        <x:v>461.36</x:v>
      </x:c>
      <x:c r="J239" s="40" t="n">
        <x:v>500.1</x:v>
      </x:c>
      <x:c r="K239" s="16" t="str">
        <x:v>Novo</x:v>
      </x:c>
      <x:c r="L239" s="16" t="str">
        <x:v>Em aberto</x:v>
      </x:c>
      <x:c r="M239" s="16" t="str">
        <x:v>6c983850-12f6-4c7e-93e6-11ee9b899def</x:v>
      </x:c>
      <x:c r="N239" s="41" t="str"/>
    </x:row>
    <x:row r="240">
      <x:c r="A240" s="37" t="str">
        <x:f>"75"</x:f>
        <x:v>75</x:v>
      </x:c>
      <x:c r="B240" s="38" t="str">
        <x:f>"1"</x:f>
        <x:v>1</x:v>
      </x:c>
      <x:c r="C240" s="38" t="str">
        <x:v>VITOR RODRIGUES SILVA</x:v>
      </x:c>
      <x:c r="D240" s="38" t="str">
        <x:f>"40191162884"</x:f>
        <x:v>40191162884</x:v>
      </x:c>
      <x:c r="E240" s="38" t="str">
        <x:f>"11998674175"</x:f>
        <x:v>11998674175</x:v>
      </x:c>
      <x:c r="F240" s="38" t="str">
        <x:v>v.rodrigues.93@hotmail.com</x:v>
      </x:c>
      <x:c r="G240" s="39" t="n">
        <x:v>46125</x:v>
      </x:c>
      <x:c r="H240" s="16" t="str">
        <x:v>04/2026</x:v>
      </x:c>
      <x:c r="I240" s="40" t="n">
        <x:v>462.92</x:v>
      </x:c>
      <x:c r="J240" s="40" t="n">
        <x:v>492.82</x:v>
      </x:c>
      <x:c r="K240" s="16" t="str">
        <x:v>Novo</x:v>
      </x:c>
      <x:c r="L240" s="16" t="str">
        <x:v>Em aberto</x:v>
      </x:c>
      <x:c r="M240" s="16" t="str">
        <x:v>eea1d3e2-36b8-4ae2-b56f-7b5017466884</x:v>
      </x:c>
      <x:c r="N240" s="41" t="str"/>
    </x:row>
    <x:row r="241">
      <x:c r="A241" s="37" t="str">
        <x:f>"75"</x:f>
        <x:v>75</x:v>
      </x:c>
      <x:c r="B241" s="38" t="str">
        <x:f>"1"</x:f>
        <x:v>1</x:v>
      </x:c>
      <x:c r="C241" s="38" t="str">
        <x:v>VITOR RODRIGUES SILVA</x:v>
      </x:c>
      <x:c r="D241" s="38" t="str">
        <x:f>"40191162884"</x:f>
        <x:v>40191162884</x:v>
      </x:c>
      <x:c r="E241" s="38" t="str">
        <x:f>"11998674175"</x:f>
        <x:v>11998674175</x:v>
      </x:c>
      <x:c r="F241" s="38" t="str">
        <x:v>v.rodrigues.93@hotmail.com</x:v>
      </x:c>
      <x:c r="G241" s="39" t="n">
        <x:v>46152</x:v>
      </x:c>
      <x:c r="H241" s="16" t="str">
        <x:v>05/2026</x:v>
      </x:c>
      <x:c r="I241" s="40" t="n">
        <x:v>446.92</x:v>
      </x:c>
      <x:c r="J241" s="40" t="n">
        <x:v>469.12</x:v>
      </x:c>
      <x:c r="K241" s="16" t="str">
        <x:v>Novo</x:v>
      </x:c>
      <x:c r="L241" s="16" t="str">
        <x:v>Em aberto</x:v>
      </x:c>
      <x:c r="M241" s="16" t="str">
        <x:v>61d0ee6d-a122-4966-a8dc-ec77e535bf46</x:v>
      </x:c>
      <x:c r="N241" s="41" t="str"/>
    </x:row>
    <x:row r="242">
      <x:c r="A242" s="37" t="str">
        <x:f>"75"</x:f>
        <x:v>75</x:v>
      </x:c>
      <x:c r="B242" s="38" t="str">
        <x:f>"1"</x:f>
        <x:v>1</x:v>
      </x:c>
      <x:c r="C242" s="38" t="str">
        <x:v>VITOR RODRIGUES SILVA</x:v>
      </x:c>
      <x:c r="D242" s="38" t="str">
        <x:f>"40191162884"</x:f>
        <x:v>40191162884</x:v>
      </x:c>
      <x:c r="E242" s="38" t="str">
        <x:f>"11998674175"</x:f>
        <x:v>11998674175</x:v>
      </x:c>
      <x:c r="F242" s="38" t="str">
        <x:v>v.rodrigues.93@hotmail.com</x:v>
      </x:c>
      <x:c r="G242" s="39" t="n">
        <x:v>46183</x:v>
      </x:c>
      <x:c r="H242" s="16" t="str">
        <x:v>06/2026</x:v>
      </x:c>
      <x:c r="I242" s="40" t="n">
        <x:v>470.33</x:v>
      </x:c>
      <x:c r="J242" s="40" t="n">
        <x:v>484.54</x:v>
      </x:c>
      <x:c r="K242" s="16" t="str">
        <x:v>Novo</x:v>
      </x:c>
      <x:c r="L242" s="16" t="str">
        <x:v>Em aberto</x:v>
      </x:c>
      <x:c r="M242" s="16" t="str">
        <x:v>e1a5ce69-0aff-40bf-b3f4-2c04af36c148</x:v>
      </x:c>
      <x:c r="N242" s="41" t="str"/>
    </x:row>
    <x:row r="243">
      <x:c r="A243" s="37" t="str">
        <x:f>"78"</x:f>
        <x:v>78</x:v>
      </x:c>
      <x:c r="B243" s="38" t="str">
        <x:f>"3"</x:f>
        <x:v>3</x:v>
      </x:c>
      <x:c r="C243" s="38" t="str">
        <x:v>JOSE ALESSANDRO DE LIMA SANTOS</x:v>
      </x:c>
      <x:c r="D243" s="38" t="str">
        <x:f>"47237787802"</x:f>
        <x:v>47237787802</x:v>
      </x:c>
      <x:c r="E243" s="38" t="str">
        <x:f>"11970755408"</x:f>
        <x:v>11970755408</x:v>
      </x:c>
      <x:c r="F243" s="38" t="str">
        <x:v>alessandrolim4@gmail.com</x:v>
      </x:c>
      <x:c r="G243" s="39" t="n">
        <x:v>46152</x:v>
      </x:c>
      <x:c r="H243" s="16" t="str">
        <x:v>05/2026</x:v>
      </x:c>
      <x:c r="I243" s="40" t="n">
        <x:v>431.8</x:v>
      </x:c>
      <x:c r="J243" s="40" t="n">
        <x:v>453.25</x:v>
      </x:c>
      <x:c r="K243" s="16" t="str">
        <x:v>Novo</x:v>
      </x:c>
      <x:c r="L243" s="16" t="str">
        <x:v>Em aberto</x:v>
      </x:c>
      <x:c r="M243" s="16" t="str">
        <x:v>d9bde63f-ad62-4d4d-982e-6391e5244d32</x:v>
      </x:c>
      <x:c r="N243" s="41" t="str"/>
    </x:row>
    <x:row r="244">
      <x:c r="A244" s="37" t="str">
        <x:f>"78"</x:f>
        <x:v>78</x:v>
      </x:c>
      <x:c r="B244" s="38" t="str">
        <x:f>"3"</x:f>
        <x:v>3</x:v>
      </x:c>
      <x:c r="C244" s="38" t="str">
        <x:v>JOSE ALESSANDRO DE LIMA SANTOS</x:v>
      </x:c>
      <x:c r="D244" s="38" t="str">
        <x:f>"47237787802"</x:f>
        <x:v>47237787802</x:v>
      </x:c>
      <x:c r="E244" s="38" t="str">
        <x:f>"11970755408"</x:f>
        <x:v>11970755408</x:v>
      </x:c>
      <x:c r="F244" s="38" t="str">
        <x:v>alessandrolim4@gmail.com</x:v>
      </x:c>
      <x:c r="G244" s="39" t="n">
        <x:v>46183</x:v>
      </x:c>
      <x:c r="H244" s="16" t="str">
        <x:v>06/2026</x:v>
      </x:c>
      <x:c r="I244" s="40" t="n">
        <x:v>454.4</x:v>
      </x:c>
      <x:c r="J244" s="40" t="n">
        <x:v>468.12</x:v>
      </x:c>
      <x:c r="K244" s="16" t="str">
        <x:v>Novo</x:v>
      </x:c>
      <x:c r="L244" s="16" t="str">
        <x:v>Em aberto</x:v>
      </x:c>
      <x:c r="M244" s="16" t="str">
        <x:v>bbdeba2a-3e45-49fe-8a74-51d3134c7136</x:v>
      </x:c>
      <x:c r="N244" s="41" t="str"/>
    </x:row>
    <x:row r="245">
      <x:c r="A245" s="37" t="str">
        <x:f>"81"</x:f>
        <x:v>81</x:v>
      </x:c>
      <x:c r="B245" s="38" t="str">
        <x:f>"3"</x:f>
        <x:v>3</x:v>
      </x:c>
      <x:c r="C245" s="38" t="str">
        <x:v>GABRIELLE SANTOS DE ARAÚJO</x:v>
      </x:c>
      <x:c r="D245" s="38" t="str">
        <x:f>"44199566821"</x:f>
        <x:v>44199566821</x:v>
      </x:c>
      <x:c r="E245" s="38" t="str">
        <x:f>"11967288163"</x:f>
        <x:v>11967288163</x:v>
      </x:c>
      <x:c r="F245" s="38" t="str">
        <x:v>joao.pavanini@gmail.com</x:v>
      </x:c>
      <x:c r="G245" s="39" t="n">
        <x:v>46152</x:v>
      </x:c>
      <x:c r="H245" s="16" t="str">
        <x:v>05/2026</x:v>
      </x:c>
      <x:c r="I245" s="40" t="n">
        <x:v>431.8</x:v>
      </x:c>
      <x:c r="J245" s="40" t="n">
        <x:v>453.25</x:v>
      </x:c>
      <x:c r="K245" s="16" t="str">
        <x:v>Novo</x:v>
      </x:c>
      <x:c r="L245" s="16" t="str">
        <x:v>Em aberto</x:v>
      </x:c>
      <x:c r="M245" s="16" t="str">
        <x:v>849e2da4-e4f9-4f31-977c-771f373d5280</x:v>
      </x:c>
      <x:c r="N245" s="41" t="str"/>
    </x:row>
    <x:row r="246">
      <x:c r="A246" s="37" t="str">
        <x:f>"81"</x:f>
        <x:v>81</x:v>
      </x:c>
      <x:c r="B246" s="38" t="str">
        <x:f>"3"</x:f>
        <x:v>3</x:v>
      </x:c>
      <x:c r="C246" s="38" t="str">
        <x:v>GABRIELLE SANTOS DE ARAÚJO</x:v>
      </x:c>
      <x:c r="D246" s="38" t="str">
        <x:f>"44199566821"</x:f>
        <x:v>44199566821</x:v>
      </x:c>
      <x:c r="E246" s="38" t="str">
        <x:f>"11967288163"</x:f>
        <x:v>11967288163</x:v>
      </x:c>
      <x:c r="F246" s="38" t="str">
        <x:v>joao.pavanini@gmail.com</x:v>
      </x:c>
      <x:c r="G246" s="39" t="n">
        <x:v>46183</x:v>
      </x:c>
      <x:c r="H246" s="16" t="str">
        <x:v>06/2026</x:v>
      </x:c>
      <x:c r="I246" s="40" t="n">
        <x:v>454.4</x:v>
      </x:c>
      <x:c r="J246" s="40" t="n">
        <x:v>468.12</x:v>
      </x:c>
      <x:c r="K246" s="16" t="str">
        <x:v>Novo</x:v>
      </x:c>
      <x:c r="L246" s="16" t="str">
        <x:v>Em aberto</x:v>
      </x:c>
      <x:c r="M246" s="16" t="str">
        <x:v>498265af-211e-4997-b9f8-1aaee0662a4c</x:v>
      </x:c>
      <x:c r="N246" s="41" t="str"/>
    </x:row>
    <x:row r="247">
      <x:c r="A247" s="37" t="str">
        <x:f>"82"</x:f>
        <x:v>82</x:v>
      </x:c>
      <x:c r="B247" s="38" t="str">
        <x:f>"2"</x:f>
        <x:v>2</x:v>
      </x:c>
      <x:c r="C247" s="38" t="str">
        <x:v>JADSON SANTOS DE ASSIS</x:v>
      </x:c>
      <x:c r="D247" s="38" t="str">
        <x:f>"07140064598"</x:f>
        <x:v>07140064598</x:v>
      </x:c>
      <x:c r="E247" s="38" t="str">
        <x:f>"11959264124"</x:f>
        <x:v>11959264124</x:v>
      </x:c>
      <x:c r="F247" s="38" t="str">
        <x:v>jadsonassis0323@gmail.com</x:v>
      </x:c>
      <x:c r="G247" s="39" t="n">
        <x:v>46063</x:v>
      </x:c>
      <x:c r="H247" s="16" t="str">
        <x:v>02/2026</x:v>
      </x:c>
      <x:c r="I247" s="40" t="n">
        <x:v>441.62</x:v>
      </x:c>
      <x:c r="J247" s="40" t="n">
        <x:v>484.27</x:v>
      </x:c>
      <x:c r="K247" s="16" t="str">
        <x:v>Novo</x:v>
      </x:c>
      <x:c r="L247" s="16" t="str">
        <x:v>Em aberto</x:v>
      </x:c>
      <x:c r="M247" s="16" t="str">
        <x:v>64bd4a23-3610-455e-b482-c1e3c9cc5336</x:v>
      </x:c>
      <x:c r="N247" s="41" t="str"/>
    </x:row>
    <x:row r="248">
      <x:c r="A248" s="37" t="str">
        <x:f>"82"</x:f>
        <x:v>82</x:v>
      </x:c>
      <x:c r="B248" s="38" t="str">
        <x:f>"2"</x:f>
        <x:v>2</x:v>
      </x:c>
      <x:c r="C248" s="38" t="str">
        <x:v>JADSON SANTOS DE ASSIS</x:v>
      </x:c>
      <x:c r="D248" s="38" t="str">
        <x:f>"07140064598"</x:f>
        <x:v>07140064598</x:v>
      </x:c>
      <x:c r="E248" s="38" t="str">
        <x:f>"11959264124"</x:f>
        <x:v>11959264124</x:v>
      </x:c>
      <x:c r="F248" s="38" t="str">
        <x:v>jadsonassis0323@gmail.com</x:v>
      </x:c>
      <x:c r="G248" s="39" t="n">
        <x:v>46091</x:v>
      </x:c>
      <x:c r="H248" s="16" t="str">
        <x:v>03/2026</x:v>
      </x:c>
      <x:c r="I248" s="40" t="n">
        <x:v>446.98</x:v>
      </x:c>
      <x:c r="J248" s="40" t="n">
        <x:v>484.53</x:v>
      </x:c>
      <x:c r="K248" s="16" t="str">
        <x:v>Novo</x:v>
      </x:c>
      <x:c r="L248" s="16" t="str">
        <x:v>Em aberto</x:v>
      </x:c>
      <x:c r="M248" s="16" t="str">
        <x:v>35fff185-f251-420c-a1e7-8c6ae7e478ba</x:v>
      </x:c>
      <x:c r="N248" s="41" t="str"/>
    </x:row>
    <x:row r="249">
      <x:c r="A249" s="37" t="str">
        <x:f>"82"</x:f>
        <x:v>82</x:v>
      </x:c>
      <x:c r="B249" s="38" t="str">
        <x:f>"2"</x:f>
        <x:v>2</x:v>
      </x:c>
      <x:c r="C249" s="38" t="str">
        <x:v>JADSON SANTOS DE ASSIS</x:v>
      </x:c>
      <x:c r="D249" s="38" t="str">
        <x:f>"07140064598"</x:f>
        <x:v>07140064598</x:v>
      </x:c>
      <x:c r="E249" s="38" t="str">
        <x:f>"11959264124"</x:f>
        <x:v>11959264124</x:v>
      </x:c>
      <x:c r="F249" s="38" t="str">
        <x:v>jadsonassis0323@gmail.com</x:v>
      </x:c>
      <x:c r="G249" s="39" t="n">
        <x:v>46125</x:v>
      </x:c>
      <x:c r="H249" s="16" t="str">
        <x:v>04/2026</x:v>
      </x:c>
      <x:c r="I249" s="40" t="n">
        <x:v>448.49</x:v>
      </x:c>
      <x:c r="J249" s="40" t="n">
        <x:v>477.47</x:v>
      </x:c>
      <x:c r="K249" s="16" t="str">
        <x:v>Novo</x:v>
      </x:c>
      <x:c r="L249" s="16" t="str">
        <x:v>Em aberto</x:v>
      </x:c>
      <x:c r="M249" s="16" t="str">
        <x:v>87ef8c5c-6a29-4489-8a5c-d8539aa823e0</x:v>
      </x:c>
      <x:c r="N249" s="41" t="str"/>
    </x:row>
    <x:row r="250">
      <x:c r="A250" s="37" t="str">
        <x:f>"82"</x:f>
        <x:v>82</x:v>
      </x:c>
      <x:c r="B250" s="38" t="str">
        <x:f>"2"</x:f>
        <x:v>2</x:v>
      </x:c>
      <x:c r="C250" s="38" t="str">
        <x:v>JADSON SANTOS DE ASSIS</x:v>
      </x:c>
      <x:c r="D250" s="38" t="str">
        <x:f>"07140064598"</x:f>
        <x:v>07140064598</x:v>
      </x:c>
      <x:c r="E250" s="38" t="str">
        <x:f>"11959264124"</x:f>
        <x:v>11959264124</x:v>
      </x:c>
      <x:c r="F250" s="38" t="str">
        <x:v>jadsonassis0323@gmail.com</x:v>
      </x:c>
      <x:c r="G250" s="39" t="n">
        <x:v>46183</x:v>
      </x:c>
      <x:c r="H250" s="16" t="str">
        <x:v>06/2026</x:v>
      </x:c>
      <x:c r="I250" s="40" t="n">
        <x:v>455.66</x:v>
      </x:c>
      <x:c r="J250" s="40" t="n">
        <x:v>469.42</x:v>
      </x:c>
      <x:c r="K250" s="16" t="str">
        <x:v>Novo</x:v>
      </x:c>
      <x:c r="L250" s="16" t="str">
        <x:v>Em aberto</x:v>
      </x:c>
      <x:c r="M250" s="16" t="str">
        <x:v>4da246f3-02e8-4d1b-a9d0-976b571474b0</x:v>
      </x:c>
      <x:c r="N250" s="41" t="str"/>
    </x:row>
    <x:row r="251">
      <x:c r="A251" s="37" t="str">
        <x:f>"84"</x:f>
        <x:v>84</x:v>
      </x:c>
      <x:c r="B251" s="38" t="str">
        <x:f>"4"</x:f>
        <x:v>4</x:v>
      </x:c>
      <x:c r="C251" s="38" t="str">
        <x:v>FABIO DOS SANTOS</x:v>
      </x:c>
      <x:c r="D251" s="38" t="str">
        <x:f>"83698590549"</x:f>
        <x:v>83698590549</x:v>
      </x:c>
      <x:c r="E251" s="38" t="str">
        <x:f>"11974932535"</x:f>
        <x:v>11974932535</x:v>
      </x:c>
      <x:c r="F251" s="38" t="str">
        <x:v>fabiocontador994@gmail.com</x:v>
      </x:c>
      <x:c r="G251" s="39" t="n">
        <x:v>46063</x:v>
      </x:c>
      <x:c r="H251" s="16" t="str">
        <x:v>02/2026</x:v>
      </x:c>
      <x:c r="I251" s="40" t="n">
        <x:v>440.4</x:v>
      </x:c>
      <x:c r="J251" s="40" t="n">
        <x:v>482.94</x:v>
      </x:c>
      <x:c r="K251" s="16" t="str">
        <x:v>Novo</x:v>
      </x:c>
      <x:c r="L251" s="16" t="str">
        <x:v>Em aberto</x:v>
      </x:c>
      <x:c r="M251" s="16" t="str">
        <x:v>fa255a35-32d1-41aa-959b-eaac72f97f1f</x:v>
      </x:c>
      <x:c r="N251" s="41" t="str"/>
    </x:row>
    <x:row r="252">
      <x:c r="A252" s="37" t="str">
        <x:f>"84"</x:f>
        <x:v>84</x:v>
      </x:c>
      <x:c r="B252" s="38" t="str">
        <x:f>"4"</x:f>
        <x:v>4</x:v>
      </x:c>
      <x:c r="C252" s="38" t="str">
        <x:v>FABIO DOS SANTOS</x:v>
      </x:c>
      <x:c r="D252" s="38" t="str">
        <x:f>"83698590549"</x:f>
        <x:v>83698590549</x:v>
      </x:c>
      <x:c r="E252" s="38" t="str">
        <x:f>"11974932535"</x:f>
        <x:v>11974932535</x:v>
      </x:c>
      <x:c r="F252" s="38" t="str">
        <x:v>fabiocontador994@gmail.com</x:v>
      </x:c>
      <x:c r="G252" s="39" t="n">
        <x:v>46091</x:v>
      </x:c>
      <x:c r="H252" s="16" t="str">
        <x:v>03/2026</x:v>
      </x:c>
      <x:c r="I252" s="40" t="n">
        <x:v>445.74</x:v>
      </x:c>
      <x:c r="J252" s="40" t="n">
        <x:v>483.16</x:v>
      </x:c>
      <x:c r="K252" s="16" t="str">
        <x:v>Novo</x:v>
      </x:c>
      <x:c r="L252" s="16" t="str">
        <x:v>Em aberto</x:v>
      </x:c>
      <x:c r="M252" s="16" t="str">
        <x:v>8827f428-dca1-42a4-b889-6cd89a439f5d</x:v>
      </x:c>
      <x:c r="N252" s="41" t="str"/>
    </x:row>
    <x:row r="253">
      <x:c r="A253" s="37" t="str">
        <x:f>"84"</x:f>
        <x:v>84</x:v>
      </x:c>
      <x:c r="B253" s="38" t="str">
        <x:f>"4"</x:f>
        <x:v>4</x:v>
      </x:c>
      <x:c r="C253" s="38" t="str">
        <x:v>FABIO DOS SANTOS</x:v>
      </x:c>
      <x:c r="D253" s="38" t="str">
        <x:f>"83698590549"</x:f>
        <x:v>83698590549</x:v>
      </x:c>
      <x:c r="E253" s="38" t="str">
        <x:f>"11974932535"</x:f>
        <x:v>11974932535</x:v>
      </x:c>
      <x:c r="F253" s="38" t="str">
        <x:v>fabiocontador994@gmail.com</x:v>
      </x:c>
      <x:c r="G253" s="39" t="n">
        <x:v>46125</x:v>
      </x:c>
      <x:c r="H253" s="16" t="str">
        <x:v>04/2026</x:v>
      </x:c>
      <x:c r="I253" s="40" t="n">
        <x:v>447.25</x:v>
      </x:c>
      <x:c r="J253" s="40" t="n">
        <x:v>476.15</x:v>
      </x:c>
      <x:c r="K253" s="16" t="str">
        <x:v>Novo</x:v>
      </x:c>
      <x:c r="L253" s="16" t="str">
        <x:v>Em aberto</x:v>
      </x:c>
      <x:c r="M253" s="16" t="str">
        <x:v>42578f01-62df-48b8-bd98-062280af74ee</x:v>
      </x:c>
      <x:c r="N253" s="41" t="str"/>
    </x:row>
    <x:row r="254">
      <x:c r="A254" s="37" t="str">
        <x:f>"84"</x:f>
        <x:v>84</x:v>
      </x:c>
      <x:c r="B254" s="38" t="str">
        <x:f>"4"</x:f>
        <x:v>4</x:v>
      </x:c>
      <x:c r="C254" s="38" t="str">
        <x:v>FABIO DOS SANTOS</x:v>
      </x:c>
      <x:c r="D254" s="38" t="str">
        <x:f>"83698590549"</x:f>
        <x:v>83698590549</x:v>
      </x:c>
      <x:c r="E254" s="38" t="str">
        <x:f>"11974932535"</x:f>
        <x:v>11974932535</x:v>
      </x:c>
      <x:c r="F254" s="38" t="str">
        <x:v>fabiocontador994@gmail.com</x:v>
      </x:c>
      <x:c r="G254" s="39" t="n">
        <x:v>46152</x:v>
      </x:c>
      <x:c r="H254" s="16" t="str">
        <x:v>05/2026</x:v>
      </x:c>
      <x:c r="I254" s="40" t="n">
        <x:v>431.8</x:v>
      </x:c>
      <x:c r="J254" s="40" t="n">
        <x:v>453.25</x:v>
      </x:c>
      <x:c r="K254" s="16" t="str">
        <x:v>Novo</x:v>
      </x:c>
      <x:c r="L254" s="16" t="str">
        <x:v>Em aberto</x:v>
      </x:c>
      <x:c r="M254" s="16" t="str">
        <x:v>32cd3585-5b6d-457e-a56c-d8cd3f82144c</x:v>
      </x:c>
      <x:c r="N254" s="41" t="str"/>
    </x:row>
    <x:row r="255">
      <x:c r="A255" s="37" t="str">
        <x:f>"84"</x:f>
        <x:v>84</x:v>
      </x:c>
      <x:c r="B255" s="38" t="str">
        <x:f>"4"</x:f>
        <x:v>4</x:v>
      </x:c>
      <x:c r="C255" s="38" t="str">
        <x:v>FABIO DOS SANTOS</x:v>
      </x:c>
      <x:c r="D255" s="38" t="str">
        <x:f>"83698590549"</x:f>
        <x:v>83698590549</x:v>
      </x:c>
      <x:c r="E255" s="38" t="str">
        <x:f>"11974932535"</x:f>
        <x:v>11974932535</x:v>
      </x:c>
      <x:c r="F255" s="38" t="str">
        <x:v>fabiocontador994@gmail.com</x:v>
      </x:c>
      <x:c r="G255" s="39" t="n">
        <x:v>46183</x:v>
      </x:c>
      <x:c r="H255" s="16" t="str">
        <x:v>06/2026</x:v>
      </x:c>
      <x:c r="I255" s="40" t="n">
        <x:v>454.4</x:v>
      </x:c>
      <x:c r="J255" s="40" t="n">
        <x:v>468.12</x:v>
      </x:c>
      <x:c r="K255" s="16" t="str">
        <x:v>Novo</x:v>
      </x:c>
      <x:c r="L255" s="16" t="str">
        <x:v>Em aberto</x:v>
      </x:c>
      <x:c r="M255" s="16" t="str">
        <x:v>9b50b547-c84e-46c4-93ac-8f4f51a0b9fd</x:v>
      </x:c>
      <x:c r="N255" s="41" t="str"/>
    </x:row>
    <x:row r="256">
      <x:c r="A256" s="37" t="str">
        <x:f>"86"</x:f>
        <x:v>86</x:v>
      </x:c>
      <x:c r="B256" s="38" t="str">
        <x:f>"3"</x:f>
        <x:v>3</x:v>
      </x:c>
      <x:c r="C256" s="38" t="str">
        <x:v>AGNALDO GOMES DA SILVA</x:v>
      </x:c>
      <x:c r="D256" s="38" t="str">
        <x:f>"35558012870"</x:f>
        <x:v>35558012870</x:v>
      </x:c>
      <x:c r="E256" s="38" t="str">
        <x:f>"11953826621"</x:f>
        <x:v>11953826621</x:v>
      </x:c>
      <x:c r="F256" s="38" t="str">
        <x:v>agnaldogomesdasilva1982@gmail.com</x:v>
      </x:c>
      <x:c r="G256" s="39" t="n">
        <x:v>46063</x:v>
      </x:c>
      <x:c r="H256" s="16" t="str">
        <x:v>02/2026</x:v>
      </x:c>
      <x:c r="I256" s="40" t="n">
        <x:v>426.2</x:v>
      </x:c>
      <x:c r="J256" s="40" t="n">
        <x:v>467.36</x:v>
      </x:c>
      <x:c r="K256" s="16" t="str">
        <x:v>Novo</x:v>
      </x:c>
      <x:c r="L256" s="16" t="str">
        <x:v>Em aberto</x:v>
      </x:c>
      <x:c r="M256" s="16" t="str">
        <x:v>62230c9b-9f30-4c49-9acd-9858b7133c12</x:v>
      </x:c>
      <x:c r="N256" s="41" t="str"/>
    </x:row>
    <x:row r="257">
      <x:c r="A257" s="37" t="str">
        <x:f>"86"</x:f>
        <x:v>86</x:v>
      </x:c>
      <x:c r="B257" s="38" t="str">
        <x:f>"4"</x:f>
        <x:v>4</x:v>
      </x:c>
      <x:c r="C257" s="38" t="str">
        <x:v>GUILHERME MENDES PAVAO</x:v>
      </x:c>
      <x:c r="D257" s="38" t="str">
        <x:f>"49591337833"</x:f>
        <x:v>49591337833</x:v>
      </x:c>
      <x:c r="E257" s="38" t="str">
        <x:f>"11986254743"</x:f>
        <x:v>11986254743</x:v>
      </x:c>
      <x:c r="F257" s="38" t="str">
        <x:v>pavaomendes@gmail.com</x:v>
      </x:c>
      <x:c r="G257" s="39" t="n">
        <x:v>46063</x:v>
      </x:c>
      <x:c r="H257" s="16" t="str">
        <x:v>02/2026</x:v>
      </x:c>
      <x:c r="I257" s="40" t="n">
        <x:v>426.2</x:v>
      </x:c>
      <x:c r="J257" s="40" t="n">
        <x:v>467.36</x:v>
      </x:c>
      <x:c r="K257" s="16" t="str">
        <x:v>Novo</x:v>
      </x:c>
      <x:c r="L257" s="16" t="str">
        <x:v>Em aberto</x:v>
      </x:c>
      <x:c r="M257" s="16" t="str">
        <x:v>e264e56b-a62d-4833-b724-be58a60ae99e</x:v>
      </x:c>
      <x:c r="N257" s="41" t="str"/>
    </x:row>
    <x:row r="258">
      <x:c r="A258" s="37" t="str">
        <x:f>"86"</x:f>
        <x:v>86</x:v>
      </x:c>
      <x:c r="B258" s="38" t="str">
        <x:f>"3"</x:f>
        <x:v>3</x:v>
      </x:c>
      <x:c r="C258" s="38" t="str">
        <x:v>AGNALDO GOMES DA SILVA</x:v>
      </x:c>
      <x:c r="D258" s="38" t="str">
        <x:f>"35558012870"</x:f>
        <x:v>35558012870</x:v>
      </x:c>
      <x:c r="E258" s="38" t="str">
        <x:f>"11953826621"</x:f>
        <x:v>11953826621</x:v>
      </x:c>
      <x:c r="F258" s="38" t="str">
        <x:v>agnaldogomesdasilva1982@gmail.com</x:v>
      </x:c>
      <x:c r="G258" s="39" t="n">
        <x:v>46091</x:v>
      </x:c>
      <x:c r="H258" s="16" t="str">
        <x:v>03/2026</x:v>
      </x:c>
      <x:c r="I258" s="40" t="n">
        <x:v>431.37</x:v>
      </x:c>
      <x:c r="J258" s="40" t="n">
        <x:v>467.6</x:v>
      </x:c>
      <x:c r="K258" s="16" t="str">
        <x:v>Novo</x:v>
      </x:c>
      <x:c r="L258" s="16" t="str">
        <x:v>Em aberto</x:v>
      </x:c>
      <x:c r="M258" s="16" t="str">
        <x:v>e012d833-fb37-41ae-a77d-65841a514f8c</x:v>
      </x:c>
      <x:c r="N258" s="41" t="str"/>
    </x:row>
    <x:row r="259">
      <x:c r="A259" s="37" t="str">
        <x:f>"86"</x:f>
        <x:v>86</x:v>
      </x:c>
      <x:c r="B259" s="38" t="str">
        <x:f>"4"</x:f>
        <x:v>4</x:v>
      </x:c>
      <x:c r="C259" s="38" t="str">
        <x:v>GUILHERME MENDES PAVAO</x:v>
      </x:c>
      <x:c r="D259" s="38" t="str">
        <x:f>"49591337833"</x:f>
        <x:v>49591337833</x:v>
      </x:c>
      <x:c r="E259" s="38" t="str">
        <x:f>"11986254743"</x:f>
        <x:v>11986254743</x:v>
      </x:c>
      <x:c r="F259" s="38" t="str">
        <x:v>pavaomendes@gmail.com</x:v>
      </x:c>
      <x:c r="G259" s="39" t="n">
        <x:v>46091</x:v>
      </x:c>
      <x:c r="H259" s="16" t="str">
        <x:v>03/2026</x:v>
      </x:c>
      <x:c r="I259" s="40" t="n">
        <x:v>431.37</x:v>
      </x:c>
      <x:c r="J259" s="40" t="n">
        <x:v>467.6</x:v>
      </x:c>
      <x:c r="K259" s="16" t="str">
        <x:v>Novo</x:v>
      </x:c>
      <x:c r="L259" s="16" t="str">
        <x:v>Em aberto</x:v>
      </x:c>
      <x:c r="M259" s="16" t="str">
        <x:v>84c6058e-a338-4632-9bee-614a2c90774b</x:v>
      </x:c>
      <x:c r="N259" s="41" t="str"/>
    </x:row>
    <x:row r="260">
      <x:c r="A260" s="37" t="str">
        <x:f>"86"</x:f>
        <x:v>86</x:v>
      </x:c>
      <x:c r="B260" s="38" t="str">
        <x:f>"3"</x:f>
        <x:v>3</x:v>
      </x:c>
      <x:c r="C260" s="38" t="str">
        <x:v>AGNALDO GOMES DA SILVA</x:v>
      </x:c>
      <x:c r="D260" s="38" t="str">
        <x:f>"35558012870"</x:f>
        <x:v>35558012870</x:v>
      </x:c>
      <x:c r="E260" s="38" t="str">
        <x:f>"11953826621"</x:f>
        <x:v>11953826621</x:v>
      </x:c>
      <x:c r="F260" s="38" t="str">
        <x:v>agnaldogomesdasilva1982@gmail.com</x:v>
      </x:c>
      <x:c r="G260" s="39" t="n">
        <x:v>46125</x:v>
      </x:c>
      <x:c r="H260" s="16" t="str">
        <x:v>04/2026</x:v>
      </x:c>
      <x:c r="I260" s="40" t="n">
        <x:v>432.83</x:v>
      </x:c>
      <x:c r="J260" s="40" t="n">
        <x:v>460.8</x:v>
      </x:c>
      <x:c r="K260" s="16" t="str">
        <x:v>Novo</x:v>
      </x:c>
      <x:c r="L260" s="16" t="str">
        <x:v>Em aberto</x:v>
      </x:c>
      <x:c r="M260" s="16" t="str">
        <x:v>58cfbd6a-0fbe-4072-bac4-402e8faaa9b1</x:v>
      </x:c>
      <x:c r="N260" s="41" t="str"/>
    </x:row>
    <x:row r="261">
      <x:c r="A261" s="37" t="str">
        <x:f>"86"</x:f>
        <x:v>86</x:v>
      </x:c>
      <x:c r="B261" s="38" t="str">
        <x:f>"3"</x:f>
        <x:v>3</x:v>
      </x:c>
      <x:c r="C261" s="38" t="str">
        <x:v>AGNALDO GOMES DA SILVA</x:v>
      </x:c>
      <x:c r="D261" s="38" t="str">
        <x:f>"35558012870"</x:f>
        <x:v>35558012870</x:v>
      </x:c>
      <x:c r="E261" s="38" t="str">
        <x:f>"11953826621"</x:f>
        <x:v>11953826621</x:v>
      </x:c>
      <x:c r="F261" s="38" t="str">
        <x:v>agnaldogomesdasilva1982@gmail.com</x:v>
      </x:c>
      <x:c r="G261" s="39" t="n">
        <x:v>46152</x:v>
      </x:c>
      <x:c r="H261" s="16" t="str">
        <x:v>05/2026</x:v>
      </x:c>
      <x:c r="I261" s="40" t="n">
        <x:v>417.87</x:v>
      </x:c>
      <x:c r="J261" s="40" t="n">
        <x:v>438.62</x:v>
      </x:c>
      <x:c r="K261" s="16" t="str">
        <x:v>Novo</x:v>
      </x:c>
      <x:c r="L261" s="16" t="str">
        <x:v>Em aberto</x:v>
      </x:c>
      <x:c r="M261" s="16" t="str">
        <x:v>4d0a669d-693f-4c4b-b5e0-c88de7efbf41</x:v>
      </x:c>
      <x:c r="N261" s="41" t="str"/>
    </x:row>
    <x:row r="262">
      <x:c r="A262" s="37" t="str">
        <x:f>"86"</x:f>
        <x:v>86</x:v>
      </x:c>
      <x:c r="B262" s="38" t="str">
        <x:f>"4"</x:f>
        <x:v>4</x:v>
      </x:c>
      <x:c r="C262" s="38" t="str">
        <x:v>GUILHERME MENDES PAVAO</x:v>
      </x:c>
      <x:c r="D262" s="38" t="str">
        <x:f>"49591337833"</x:f>
        <x:v>49591337833</x:v>
      </x:c>
      <x:c r="E262" s="38" t="str">
        <x:f>"11986254743"</x:f>
        <x:v>11986254743</x:v>
      </x:c>
      <x:c r="F262" s="38" t="str">
        <x:v>pavaomendes@gmail.com</x:v>
      </x:c>
      <x:c r="G262" s="39" t="n">
        <x:v>46183</x:v>
      </x:c>
      <x:c r="H262" s="16" t="str">
        <x:v>06/2026</x:v>
      </x:c>
      <x:c r="I262" s="40" t="n">
        <x:v>439.74</x:v>
      </x:c>
      <x:c r="J262" s="40" t="n">
        <x:v>453.02</x:v>
      </x:c>
      <x:c r="K262" s="16" t="str">
        <x:v>Novo</x:v>
      </x:c>
      <x:c r="L262" s="16" t="str">
        <x:v>Em aberto</x:v>
      </x:c>
      <x:c r="M262" s="16" t="str">
        <x:v>5b11af3a-d94f-46b3-a939-d3150f3c4eca</x:v>
      </x:c>
      <x:c r="N262" s="41" t="str"/>
    </x:row>
    <x:row r="263">
      <x:c r="A263" s="37" t="str">
        <x:f>"88"</x:f>
        <x:v>88</x:v>
      </x:c>
      <x:c r="B263" s="38" t="str">
        <x:f>"2"</x:f>
        <x:v>2</x:v>
      </x:c>
      <x:c r="C263" s="38" t="str">
        <x:v>BRUNO DE MELO SILVA</x:v>
      </x:c>
      <x:c r="D263" s="38" t="str">
        <x:f>"44554069800"</x:f>
        <x:v>44554069800</x:v>
      </x:c>
      <x:c r="E263" s="38" t="str">
        <x:f>"11988081750"</x:f>
        <x:v>11988081750</x:v>
      </x:c>
      <x:c r="F263" s="38" t="str">
        <x:v>olemnobru.97@gmail.com</x:v>
      </x:c>
      <x:c r="G263" s="39" t="n">
        <x:v>46125</x:v>
      </x:c>
      <x:c r="H263" s="16" t="str">
        <x:v>04/2026</x:v>
      </x:c>
      <x:c r="I263" s="40" t="n">
        <x:v>462.92</x:v>
      </x:c>
      <x:c r="J263" s="40" t="n">
        <x:v>492.82</x:v>
      </x:c>
      <x:c r="K263" s="16" t="str">
        <x:v>Novo</x:v>
      </x:c>
      <x:c r="L263" s="16" t="str">
        <x:v>Em aberto</x:v>
      </x:c>
      <x:c r="M263" s="16" t="str">
        <x:v>b6ecfe75-7550-4590-9790-6848d30140a2</x:v>
      </x:c>
      <x:c r="N263" s="41" t="str"/>
    </x:row>
    <x:row r="264">
      <x:c r="A264" s="37" t="str">
        <x:f>"88"</x:f>
        <x:v>88</x:v>
      </x:c>
      <x:c r="B264" s="38" t="str">
        <x:f>"2"</x:f>
        <x:v>2</x:v>
      </x:c>
      <x:c r="C264" s="38" t="str">
        <x:v>BRUNO DE MELO SILVA</x:v>
      </x:c>
      <x:c r="D264" s="38" t="str">
        <x:f>"44554069800"</x:f>
        <x:v>44554069800</x:v>
      </x:c>
      <x:c r="E264" s="38" t="str">
        <x:f>"11988081750"</x:f>
        <x:v>11988081750</x:v>
      </x:c>
      <x:c r="F264" s="38" t="str">
        <x:v>olemnobru.97@gmail.com</x:v>
      </x:c>
      <x:c r="G264" s="39" t="n">
        <x:v>46152</x:v>
      </x:c>
      <x:c r="H264" s="16" t="str">
        <x:v>05/2026</x:v>
      </x:c>
      <x:c r="I264" s="40" t="n">
        <x:v>446.92</x:v>
      </x:c>
      <x:c r="J264" s="40" t="n">
        <x:v>469.12</x:v>
      </x:c>
      <x:c r="K264" s="16" t="str">
        <x:v>Novo</x:v>
      </x:c>
      <x:c r="L264" s="16" t="str">
        <x:v>Em aberto</x:v>
      </x:c>
      <x:c r="M264" s="16" t="str">
        <x:v>cb9d622f-827e-4734-8455-d3d073cc57b1</x:v>
      </x:c>
      <x:c r="N264" s="41" t="str"/>
    </x:row>
    <x:row r="265">
      <x:c r="A265" s="37" t="str">
        <x:f>"91"</x:f>
        <x:v>91</x:v>
      </x:c>
      <x:c r="B265" s="38" t="str">
        <x:f>"4"</x:f>
        <x:v>4</x:v>
      </x:c>
      <x:c r="C265" s="38" t="str">
        <x:v>DENILZA APARECIDA DOS SANTOS</x:v>
      </x:c>
      <x:c r="D265" s="38" t="str">
        <x:f>"33378471883"</x:f>
        <x:v>33378471883</x:v>
      </x:c>
      <x:c r="E265" s="38" t="str">
        <x:f>"11959247943"</x:f>
        <x:v>11959247943</x:v>
      </x:c>
      <x:c r="F265" s="38" t="str">
        <x:v>denisesantos1984@hotmail.com</x:v>
      </x:c>
      <x:c r="G265" s="39" t="n">
        <x:v>46063</x:v>
      </x:c>
      <x:c r="H265" s="16" t="str">
        <x:v>02/2026</x:v>
      </x:c>
      <x:c r="I265" s="40" t="n">
        <x:v>455.83</x:v>
      </x:c>
      <x:c r="J265" s="40" t="n">
        <x:v>499.86</x:v>
      </x:c>
      <x:c r="K265" s="16" t="str">
        <x:v>Novo</x:v>
      </x:c>
      <x:c r="L265" s="16" t="str">
        <x:v>Em aberto</x:v>
      </x:c>
      <x:c r="M265" s="16" t="str">
        <x:v>db1ecd97-4aa9-4f92-8af0-282a3a5054f5</x:v>
      </x:c>
      <x:c r="N265" s="41" t="str"/>
    </x:row>
    <x:row r="266">
      <x:c r="A266" s="37" t="str">
        <x:f>"91"</x:f>
        <x:v>91</x:v>
      </x:c>
      <x:c r="B266" s="38" t="str">
        <x:f>"4"</x:f>
        <x:v>4</x:v>
      </x:c>
      <x:c r="C266" s="38" t="str">
        <x:v>DENILZA APARECIDA DOS SANTOS</x:v>
      </x:c>
      <x:c r="D266" s="38" t="str">
        <x:f>"33378471883"</x:f>
        <x:v>33378471883</x:v>
      </x:c>
      <x:c r="E266" s="38" t="str">
        <x:f>"11959247943"</x:f>
        <x:v>11959247943</x:v>
      </x:c>
      <x:c r="F266" s="38" t="str">
        <x:v>denisesantos1984@hotmail.com</x:v>
      </x:c>
      <x:c r="G266" s="39" t="n">
        <x:v>46091</x:v>
      </x:c>
      <x:c r="H266" s="16" t="str">
        <x:v>03/2026</x:v>
      </x:c>
      <x:c r="I266" s="40" t="n">
        <x:v>461.36</x:v>
      </x:c>
      <x:c r="J266" s="40" t="n">
        <x:v>500.1</x:v>
      </x:c>
      <x:c r="K266" s="16" t="str">
        <x:v>Novo</x:v>
      </x:c>
      <x:c r="L266" s="16" t="str">
        <x:v>Em aberto</x:v>
      </x:c>
      <x:c r="M266" s="16" t="str">
        <x:v>5f62549d-250b-4e04-bc07-62e87c36d822</x:v>
      </x:c>
      <x:c r="N266" s="41" t="str"/>
    </x:row>
    <x:row r="267">
      <x:c r="A267" s="37" t="str">
        <x:f>"91"</x:f>
        <x:v>91</x:v>
      </x:c>
      <x:c r="B267" s="38" t="str">
        <x:f>"4"</x:f>
        <x:v>4</x:v>
      </x:c>
      <x:c r="C267" s="38" t="str">
        <x:v>DENILZA APARECIDA DOS SANTOS</x:v>
      </x:c>
      <x:c r="D267" s="38" t="str">
        <x:f>"33378471883"</x:f>
        <x:v>33378471883</x:v>
      </x:c>
      <x:c r="E267" s="38" t="str">
        <x:f>"11959247943"</x:f>
        <x:v>11959247943</x:v>
      </x:c>
      <x:c r="F267" s="38" t="str">
        <x:v>denisesantos1984@hotmail.com</x:v>
      </x:c>
      <x:c r="G267" s="39" t="n">
        <x:v>46125</x:v>
      </x:c>
      <x:c r="H267" s="16" t="str">
        <x:v>04/2026</x:v>
      </x:c>
      <x:c r="I267" s="40" t="n">
        <x:v>462.92</x:v>
      </x:c>
      <x:c r="J267" s="40" t="n">
        <x:v>492.82</x:v>
      </x:c>
      <x:c r="K267" s="16" t="str">
        <x:v>Novo</x:v>
      </x:c>
      <x:c r="L267" s="16" t="str">
        <x:v>Em aberto</x:v>
      </x:c>
      <x:c r="M267" s="16" t="str">
        <x:v>4a24f8ce-efb4-4f93-a6cc-516dff340ea2</x:v>
      </x:c>
      <x:c r="N267" s="41" t="str"/>
    </x:row>
    <x:row r="268">
      <x:c r="A268" s="37" t="str">
        <x:f>"91"</x:f>
        <x:v>91</x:v>
      </x:c>
      <x:c r="B268" s="38" t="str">
        <x:f>"4"</x:f>
        <x:v>4</x:v>
      </x:c>
      <x:c r="C268" s="38" t="str">
        <x:v>DENILZA APARECIDA DOS SANTOS</x:v>
      </x:c>
      <x:c r="D268" s="38" t="str">
        <x:f>"33378471883"</x:f>
        <x:v>33378471883</x:v>
      </x:c>
      <x:c r="E268" s="38" t="str">
        <x:f>"11959247943"</x:f>
        <x:v>11959247943</x:v>
      </x:c>
      <x:c r="F268" s="38" t="str">
        <x:v>denisesantos1984@hotmail.com</x:v>
      </x:c>
      <x:c r="G268" s="39" t="n">
        <x:v>46152</x:v>
      </x:c>
      <x:c r="H268" s="16" t="str">
        <x:v>05/2026</x:v>
      </x:c>
      <x:c r="I268" s="40" t="n">
        <x:v>446.92</x:v>
      </x:c>
      <x:c r="J268" s="40" t="n">
        <x:v>469.12</x:v>
      </x:c>
      <x:c r="K268" s="16" t="str">
        <x:v>Novo</x:v>
      </x:c>
      <x:c r="L268" s="16" t="str">
        <x:v>Em aberto</x:v>
      </x:c>
      <x:c r="M268" s="16" t="str">
        <x:v>a8ff2c38-8d93-426c-8862-f85f56b40fe8</x:v>
      </x:c>
      <x:c r="N268" s="41" t="str"/>
    </x:row>
    <x:row r="269">
      <x:c r="A269" s="37" t="str">
        <x:f>"91"</x:f>
        <x:v>91</x:v>
      </x:c>
      <x:c r="B269" s="38" t="str">
        <x:f>"4"</x:f>
        <x:v>4</x:v>
      </x:c>
      <x:c r="C269" s="38" t="str">
        <x:v>DENILZA APARECIDA DOS SANTOS</x:v>
      </x:c>
      <x:c r="D269" s="38" t="str">
        <x:f>"33378471883"</x:f>
        <x:v>33378471883</x:v>
      </x:c>
      <x:c r="E269" s="38" t="str">
        <x:f>"11959247943"</x:f>
        <x:v>11959247943</x:v>
      </x:c>
      <x:c r="F269" s="38" t="str">
        <x:v>denisesantos1984@hotmail.com</x:v>
      </x:c>
      <x:c r="G269" s="39" t="n">
        <x:v>46183</x:v>
      </x:c>
      <x:c r="H269" s="16" t="str">
        <x:v>06/2026</x:v>
      </x:c>
      <x:c r="I269" s="40" t="n">
        <x:v>470.33</x:v>
      </x:c>
      <x:c r="J269" s="40" t="n">
        <x:v>484.54</x:v>
      </x:c>
      <x:c r="K269" s="16" t="str">
        <x:v>Novo</x:v>
      </x:c>
      <x:c r="L269" s="16" t="str">
        <x:v>Em aberto</x:v>
      </x:c>
      <x:c r="M269" s="16" t="str">
        <x:v>6a4f7e9b-e7e0-49d5-83f8-b80d8434f757</x:v>
      </x:c>
      <x:c r="N269" s="41" t="str"/>
    </x:row>
    <x:row r="270">
      <x:c r="A270" s="37" t="str">
        <x:f>"92"</x:f>
        <x:v>92</x:v>
      </x:c>
      <x:c r="B270" s="38" t="str">
        <x:f>"3"</x:f>
        <x:v>3</x:v>
      </x:c>
      <x:c r="C270" s="38" t="str">
        <x:v>ANDRESA XAVIER ALMEIDA</x:v>
      </x:c>
      <x:c r="D270" s="38" t="str">
        <x:f>"46969908852"</x:f>
        <x:v>46969908852</x:v>
      </x:c>
      <x:c r="E270" s="38" t="str">
        <x:f>"11958115558"</x:f>
        <x:v>11958115558</x:v>
      </x:c>
      <x:c r="F270" s="38" t="str">
        <x:v>andresadsouza@hotmail.com</x:v>
      </x:c>
      <x:c r="G270" s="39" t="n">
        <x:v>46063</x:v>
      </x:c>
      <x:c r="H270" s="16" t="str">
        <x:v>02/2026</x:v>
      </x:c>
      <x:c r="I270" s="40" t="n">
        <x:v>441.62</x:v>
      </x:c>
      <x:c r="J270" s="40" t="n">
        <x:v>484.27</x:v>
      </x:c>
      <x:c r="K270" s="16" t="str">
        <x:v>Novo</x:v>
      </x:c>
      <x:c r="L270" s="16" t="str">
        <x:v>Em aberto</x:v>
      </x:c>
      <x:c r="M270" s="16" t="str">
        <x:v>7367a70a-91b0-4bd6-beb0-50b5a9af91f9</x:v>
      </x:c>
      <x:c r="N270" s="41" t="str"/>
    </x:row>
    <x:row r="271">
      <x:c r="A271" s="37" t="str">
        <x:f>"92"</x:f>
        <x:v>92</x:v>
      </x:c>
      <x:c r="B271" s="38" t="str">
        <x:f>"3"</x:f>
        <x:v>3</x:v>
      </x:c>
      <x:c r="C271" s="38" t="str">
        <x:v>ANDRESA XAVIER ALMEIDA</x:v>
      </x:c>
      <x:c r="D271" s="38" t="str">
        <x:f>"46969908852"</x:f>
        <x:v>46969908852</x:v>
      </x:c>
      <x:c r="E271" s="38" t="str">
        <x:f>"11958115558"</x:f>
        <x:v>11958115558</x:v>
      </x:c>
      <x:c r="F271" s="38" t="str">
        <x:v>andresadsouza@hotmail.com</x:v>
      </x:c>
      <x:c r="G271" s="39" t="n">
        <x:v>46183</x:v>
      </x:c>
      <x:c r="H271" s="16" t="str">
        <x:v>06/2026</x:v>
      </x:c>
      <x:c r="I271" s="40" t="n">
        <x:v>455.66</x:v>
      </x:c>
      <x:c r="J271" s="40" t="n">
        <x:v>469.42</x:v>
      </x:c>
      <x:c r="K271" s="16" t="str">
        <x:v>Novo</x:v>
      </x:c>
      <x:c r="L271" s="16" t="str">
        <x:v>Em aberto</x:v>
      </x:c>
      <x:c r="M271" s="16" t="str">
        <x:v>cd977b28-54df-4387-a979-67a210d09ac3</x:v>
      </x:c>
      <x:c r="N271" s="41" t="str"/>
    </x:row>
    <x:row r="272">
      <x:c r="A272" s="37" t="str">
        <x:f>"93"</x:f>
        <x:v>93</x:v>
      </x:c>
      <x:c r="B272" s="38" t="str">
        <x:f>"5"</x:f>
        <x:v>5</x:v>
      </x:c>
      <x:c r="C272" s="38" t="str">
        <x:v>MATHEUS BARBOSA EULALIO</x:v>
      </x:c>
      <x:c r="D272" s="38" t="str">
        <x:f>"35829151820"</x:f>
        <x:v>35829151820</x:v>
      </x:c>
      <x:c r="E272" s="38" t="str">
        <x:f>"11977932521"</x:f>
        <x:v>11977932521</x:v>
      </x:c>
      <x:c r="F272" s="38" t="str">
        <x:v>matheustst.barbosa@gmail.com</x:v>
      </x:c>
      <x:c r="G272" s="39" t="n">
        <x:v>46063</x:v>
      </x:c>
      <x:c r="H272" s="16" t="str">
        <x:v>02/2026</x:v>
      </x:c>
      <x:c r="I272" s="40" t="n">
        <x:v>426.2</x:v>
      </x:c>
      <x:c r="J272" s="40" t="n">
        <x:v>467.36</x:v>
      </x:c>
      <x:c r="K272" s="16" t="str">
        <x:v>Novo</x:v>
      </x:c>
      <x:c r="L272" s="16" t="str">
        <x:v>Em aberto</x:v>
      </x:c>
      <x:c r="M272" s="16" t="str">
        <x:v>a177f524-fc03-497e-8e2c-43c48e7df2b4</x:v>
      </x:c>
      <x:c r="N272" s="41" t="str"/>
    </x:row>
    <x:row r="273">
      <x:c r="A273" s="37" t="str">
        <x:f>"93"</x:f>
        <x:v>93</x:v>
      </x:c>
      <x:c r="B273" s="38" t="str">
        <x:f>"5"</x:f>
        <x:v>5</x:v>
      </x:c>
      <x:c r="C273" s="38" t="str">
        <x:v>MATHEUS BARBOSA EULALIO</x:v>
      </x:c>
      <x:c r="D273" s="38" t="str">
        <x:f>"35829151820"</x:f>
        <x:v>35829151820</x:v>
      </x:c>
      <x:c r="E273" s="38" t="str">
        <x:f>"11977932521"</x:f>
        <x:v>11977932521</x:v>
      </x:c>
      <x:c r="F273" s="38" t="str">
        <x:v>matheustst.barbosa@gmail.com</x:v>
      </x:c>
      <x:c r="G273" s="39" t="n">
        <x:v>46091</x:v>
      </x:c>
      <x:c r="H273" s="16" t="str">
        <x:v>03/2026</x:v>
      </x:c>
      <x:c r="I273" s="40" t="n">
        <x:v>431.37</x:v>
      </x:c>
      <x:c r="J273" s="40" t="n">
        <x:v>467.6</x:v>
      </x:c>
      <x:c r="K273" s="16" t="str">
        <x:v>Novo</x:v>
      </x:c>
      <x:c r="L273" s="16" t="str">
        <x:v>Em aberto</x:v>
      </x:c>
      <x:c r="M273" s="16" t="str">
        <x:v>0e589e14-3d53-473e-9d59-3bb02fad272f</x:v>
      </x:c>
      <x:c r="N273" s="41" t="str"/>
    </x:row>
    <x:row r="274">
      <x:c r="A274" s="37" t="str">
        <x:f>"93"</x:f>
        <x:v>93</x:v>
      </x:c>
      <x:c r="B274" s="38" t="str">
        <x:f>"5"</x:f>
        <x:v>5</x:v>
      </x:c>
      <x:c r="C274" s="38" t="str">
        <x:v>MATHEUS BARBOSA EULALIO</x:v>
      </x:c>
      <x:c r="D274" s="38" t="str">
        <x:f>"35829151820"</x:f>
        <x:v>35829151820</x:v>
      </x:c>
      <x:c r="E274" s="38" t="str">
        <x:f>"11977932521"</x:f>
        <x:v>11977932521</x:v>
      </x:c>
      <x:c r="F274" s="38" t="str">
        <x:v>matheustst.barbosa@gmail.com</x:v>
      </x:c>
      <x:c r="G274" s="39" t="n">
        <x:v>46125</x:v>
      </x:c>
      <x:c r="H274" s="16" t="str">
        <x:v>04/2026</x:v>
      </x:c>
      <x:c r="I274" s="40" t="n">
        <x:v>432.83</x:v>
      </x:c>
      <x:c r="J274" s="40" t="n">
        <x:v>460.8</x:v>
      </x:c>
      <x:c r="K274" s="16" t="str">
        <x:v>Novo</x:v>
      </x:c>
      <x:c r="L274" s="16" t="str">
        <x:v>Em aberto</x:v>
      </x:c>
      <x:c r="M274" s="16" t="str">
        <x:v>4c5d7e39-9069-4402-98f3-e417497588a1</x:v>
      </x:c>
      <x:c r="N274" s="41" t="str"/>
    </x:row>
    <x:row r="275">
      <x:c r="A275" s="37" t="str">
        <x:f>"93"</x:f>
        <x:v>93</x:v>
      </x:c>
      <x:c r="B275" s="38" t="str">
        <x:f>"5"</x:f>
        <x:v>5</x:v>
      </x:c>
      <x:c r="C275" s="38" t="str">
        <x:v>MATHEUS BARBOSA EULALIO</x:v>
      </x:c>
      <x:c r="D275" s="38" t="str">
        <x:f>"35829151820"</x:f>
        <x:v>35829151820</x:v>
      </x:c>
      <x:c r="E275" s="38" t="str">
        <x:f>"11977932521"</x:f>
        <x:v>11977932521</x:v>
      </x:c>
      <x:c r="F275" s="38" t="str">
        <x:v>matheustst.barbosa@gmail.com</x:v>
      </x:c>
      <x:c r="G275" s="39" t="n">
        <x:v>46152</x:v>
      </x:c>
      <x:c r="H275" s="16" t="str">
        <x:v>05/2026</x:v>
      </x:c>
      <x:c r="I275" s="40" t="n">
        <x:v>417.87</x:v>
      </x:c>
      <x:c r="J275" s="40" t="n">
        <x:v>438.62</x:v>
      </x:c>
      <x:c r="K275" s="16" t="str">
        <x:v>Novo</x:v>
      </x:c>
      <x:c r="L275" s="16" t="str">
        <x:v>Em aberto</x:v>
      </x:c>
      <x:c r="M275" s="16" t="str">
        <x:v>26f52ea4-4044-4bf9-8642-ddbe4d12def0</x:v>
      </x:c>
      <x:c r="N275" s="41" t="str"/>
    </x:row>
    <x:row r="276">
      <x:c r="A276" s="37" t="str">
        <x:f>"93"</x:f>
        <x:v>93</x:v>
      </x:c>
      <x:c r="B276" s="38" t="str">
        <x:f>"5"</x:f>
        <x:v>5</x:v>
      </x:c>
      <x:c r="C276" s="38" t="str">
        <x:v>MATHEUS BARBOSA EULALIO</x:v>
      </x:c>
      <x:c r="D276" s="38" t="str">
        <x:f>"35829151820"</x:f>
        <x:v>35829151820</x:v>
      </x:c>
      <x:c r="E276" s="38" t="str">
        <x:f>"11977932521"</x:f>
        <x:v>11977932521</x:v>
      </x:c>
      <x:c r="F276" s="38" t="str">
        <x:v>matheustst.barbosa@gmail.com</x:v>
      </x:c>
      <x:c r="G276" s="39" t="n">
        <x:v>46183</x:v>
      </x:c>
      <x:c r="H276" s="16" t="str">
        <x:v>06/2026</x:v>
      </x:c>
      <x:c r="I276" s="40" t="n">
        <x:v>439.74</x:v>
      </x:c>
      <x:c r="J276" s="40" t="n">
        <x:v>453.02</x:v>
      </x:c>
      <x:c r="K276" s="16" t="str">
        <x:v>Novo</x:v>
      </x:c>
      <x:c r="L276" s="16" t="str">
        <x:v>Em aberto</x:v>
      </x:c>
      <x:c r="M276" s="16" t="str">
        <x:v>d1984cb0-d0cc-4400-9b22-24e5a36efda0</x:v>
      </x:c>
      <x:c r="N276" s="41" t="str"/>
    </x:row>
    <x:row r="277">
      <x:c r="A277" s="37" t="str">
        <x:f>"94"</x:f>
        <x:v>94</x:v>
      </x:c>
      <x:c r="B277" s="38" t="str">
        <x:f>"2"</x:f>
        <x:v>2</x:v>
      </x:c>
      <x:c r="C277" s="38" t="str">
        <x:v>VANESSA SCHUWAMBARCK DE SOUZA</x:v>
      </x:c>
      <x:c r="D277" s="38" t="str">
        <x:f>"33874339807"</x:f>
        <x:v>33874339807</x:v>
      </x:c>
      <x:c r="E277" s="38" t="str">
        <x:f>"977379046"</x:f>
        <x:v>977379046</x:v>
      </x:c>
      <x:c r="F277" s="38" t="str">
        <x:v>vanessinhav288@gmail.com</x:v>
      </x:c>
      <x:c r="G277" s="39" t="n">
        <x:v>46183</x:v>
      </x:c>
      <x:c r="H277" s="16" t="str">
        <x:v>06/2026</x:v>
      </x:c>
      <x:c r="I277" s="40" t="n">
        <x:v>550.33</x:v>
      </x:c>
      <x:c r="J277" s="40" t="n">
        <x:v>566.95</x:v>
      </x:c>
      <x:c r="K277" s="16" t="str">
        <x:v>Novo</x:v>
      </x:c>
      <x:c r="L277" s="16" t="str">
        <x:v>Em aberto</x:v>
      </x:c>
      <x:c r="M277" s="16" t="str">
        <x:v>1e3e0957-f8c3-4c41-b832-3933f8e79483</x:v>
      </x:c>
      <x:c r="N277" s="41" t="str"/>
    </x:row>
    <x:row r="278">
      <x:c r="A278" s="37" t="str">
        <x:f>"95"</x:f>
        <x:v>95</x:v>
      </x:c>
      <x:c r="B278" s="38" t="str">
        <x:f>"1"</x:f>
        <x:v>1</x:v>
      </x:c>
      <x:c r="C278" s="38" t="str">
        <x:v>THAYNA DO NASCIMENTO SILVA</x:v>
      </x:c>
      <x:c r="D278" s="38" t="str">
        <x:f>"42799089828"</x:f>
        <x:v>42799089828</x:v>
      </x:c>
      <x:c r="E278" s="38" t="str">
        <x:f>"11988016699"</x:f>
        <x:v>11988016699</x:v>
      </x:c>
      <x:c r="F278" s="38" t="str">
        <x:v>hayna.nascimento1995@outlook.com</x:v>
      </x:c>
      <x:c r="G278" s="39" t="n">
        <x:v>46063</x:v>
      </x:c>
      <x:c r="H278" s="16" t="str">
        <x:v>02/2026</x:v>
      </x:c>
      <x:c r="I278" s="40" t="n">
        <x:v>455.83</x:v>
      </x:c>
      <x:c r="J278" s="40" t="n">
        <x:v>499.86</x:v>
      </x:c>
      <x:c r="K278" s="16" t="str">
        <x:v>Novo</x:v>
      </x:c>
      <x:c r="L278" s="16" t="str">
        <x:v>Em aberto</x:v>
      </x:c>
      <x:c r="M278" s="16" t="str">
        <x:v>52c1280c-a660-4475-8da3-be1fe80efae8</x:v>
      </x:c>
      <x:c r="N278" s="41" t="str"/>
    </x:row>
    <x:row r="279">
      <x:c r="A279" s="37" t="str">
        <x:f>"95"</x:f>
        <x:v>95</x:v>
      </x:c>
      <x:c r="B279" s="38" t="str">
        <x:f>"1"</x:f>
        <x:v>1</x:v>
      </x:c>
      <x:c r="C279" s="38" t="str">
        <x:v>THAYNA DO NASCIMENTO SILVA</x:v>
      </x:c>
      <x:c r="D279" s="38" t="str">
        <x:f>"42799089828"</x:f>
        <x:v>42799089828</x:v>
      </x:c>
      <x:c r="E279" s="38" t="str">
        <x:f>"11988016699"</x:f>
        <x:v>11988016699</x:v>
      </x:c>
      <x:c r="F279" s="38" t="str">
        <x:v>hayna.nascimento1995@outlook.com</x:v>
      </x:c>
      <x:c r="G279" s="39" t="n">
        <x:v>46091</x:v>
      </x:c>
      <x:c r="H279" s="16" t="str">
        <x:v>03/2026</x:v>
      </x:c>
      <x:c r="I279" s="40" t="n">
        <x:v>461.36</x:v>
      </x:c>
      <x:c r="J279" s="40" t="n">
        <x:v>500.1</x:v>
      </x:c>
      <x:c r="K279" s="16" t="str">
        <x:v>Novo</x:v>
      </x:c>
      <x:c r="L279" s="16" t="str">
        <x:v>Em aberto</x:v>
      </x:c>
      <x:c r="M279" s="16" t="str">
        <x:v>a6021496-2b4a-4dc7-9d7f-62038ab1a787</x:v>
      </x:c>
      <x:c r="N279" s="41" t="str"/>
    </x:row>
    <x:row r="280">
      <x:c r="A280" s="37" t="str">
        <x:f>"95"</x:f>
        <x:v>95</x:v>
      </x:c>
      <x:c r="B280" s="38" t="str">
        <x:f>"1"</x:f>
        <x:v>1</x:v>
      </x:c>
      <x:c r="C280" s="38" t="str">
        <x:v>THAYNA DO NASCIMENTO SILVA</x:v>
      </x:c>
      <x:c r="D280" s="38" t="str">
        <x:f>"42799089828"</x:f>
        <x:v>42799089828</x:v>
      </x:c>
      <x:c r="E280" s="38" t="str">
        <x:f>"11988016699"</x:f>
        <x:v>11988016699</x:v>
      </x:c>
      <x:c r="F280" s="38" t="str">
        <x:v>hayna.nascimento1995@outlook.com</x:v>
      </x:c>
      <x:c r="G280" s="39" t="n">
        <x:v>46125</x:v>
      </x:c>
      <x:c r="H280" s="16" t="str">
        <x:v>04/2026</x:v>
      </x:c>
      <x:c r="I280" s="40" t="n">
        <x:v>462.92</x:v>
      </x:c>
      <x:c r="J280" s="40" t="n">
        <x:v>492.82</x:v>
      </x:c>
      <x:c r="K280" s="16" t="str">
        <x:v>Novo</x:v>
      </x:c>
      <x:c r="L280" s="16" t="str">
        <x:v>Em aberto</x:v>
      </x:c>
      <x:c r="M280" s="16" t="str">
        <x:v>656f1b16-3834-4ec0-bce2-74b0aa59acc5</x:v>
      </x:c>
      <x:c r="N280" s="41" t="str"/>
    </x:row>
    <x:row r="281">
      <x:c r="A281" s="37" t="str">
        <x:f>"95"</x:f>
        <x:v>95</x:v>
      </x:c>
      <x:c r="B281" s="38" t="str">
        <x:f>"1"</x:f>
        <x:v>1</x:v>
      </x:c>
      <x:c r="C281" s="38" t="str">
        <x:v>THAYNA DO NASCIMENTO SILVA</x:v>
      </x:c>
      <x:c r="D281" s="38" t="str">
        <x:f>"42799089828"</x:f>
        <x:v>42799089828</x:v>
      </x:c>
      <x:c r="E281" s="38" t="str">
        <x:f>"11988016699"</x:f>
        <x:v>11988016699</x:v>
      </x:c>
      <x:c r="F281" s="38" t="str">
        <x:v>hayna.nascimento1995@outlook.com</x:v>
      </x:c>
      <x:c r="G281" s="39" t="n">
        <x:v>46152</x:v>
      </x:c>
      <x:c r="H281" s="16" t="str">
        <x:v>05/2026</x:v>
      </x:c>
      <x:c r="I281" s="40" t="n">
        <x:v>446.92</x:v>
      </x:c>
      <x:c r="J281" s="40" t="n">
        <x:v>469.12</x:v>
      </x:c>
      <x:c r="K281" s="16" t="str">
        <x:v>Novo</x:v>
      </x:c>
      <x:c r="L281" s="16" t="str">
        <x:v>Em aberto</x:v>
      </x:c>
      <x:c r="M281" s="16" t="str">
        <x:v>68b865eb-540b-457c-bfb9-f59fcbb69290</x:v>
      </x:c>
      <x:c r="N281" s="41" t="str"/>
    </x:row>
    <x:row r="282">
      <x:c r="A282" s="37" t="str">
        <x:f>"95"</x:f>
        <x:v>95</x:v>
      </x:c>
      <x:c r="B282" s="38" t="str">
        <x:f>"3"</x:f>
        <x:v>3</x:v>
      </x:c>
      <x:c r="C282" s="38" t="str">
        <x:v>PAULA LETICIA BRAZ DA SILVA</x:v>
      </x:c>
      <x:c r="D282" s="38" t="str">
        <x:f>"47240418898"</x:f>
        <x:v>47240418898</x:v>
      </x:c>
      <x:c r="E282" s="38" t="str">
        <x:f>"11989247787"</x:f>
        <x:v>11989247787</x:v>
      </x:c>
      <x:c r="F282" s="38" t="str">
        <x:v>andrezarc17@gmail.com</x:v>
      </x:c>
      <x:c r="G282" s="39" t="n">
        <x:v>46183</x:v>
      </x:c>
      <x:c r="H282" s="16" t="str">
        <x:v>06/2026</x:v>
      </x:c>
      <x:c r="I282" s="40" t="n">
        <x:v>470.33</x:v>
      </x:c>
      <x:c r="J282" s="40" t="n">
        <x:v>484.54</x:v>
      </x:c>
      <x:c r="K282" s="16" t="str">
        <x:v>Novo</x:v>
      </x:c>
      <x:c r="L282" s="16" t="str">
        <x:v>Em aberto</x:v>
      </x:c>
      <x:c r="M282" s="16" t="str">
        <x:v>bd95f78d-90cf-41ba-9b94-6c730c174def</x:v>
      </x:c>
      <x:c r="N282" s="41" t="str"/>
    </x:row>
    <x:row r="283">
      <x:c r="A283" s="37" t="str">
        <x:f>"95"</x:f>
        <x:v>95</x:v>
      </x:c>
      <x:c r="B283" s="38" t="str">
        <x:f>"1"</x:f>
        <x:v>1</x:v>
      </x:c>
      <x:c r="C283" s="38" t="str">
        <x:v>THAYNA DO NASCIMENTO SILVA</x:v>
      </x:c>
      <x:c r="D283" s="38" t="str">
        <x:f>"42799089828"</x:f>
        <x:v>42799089828</x:v>
      </x:c>
      <x:c r="E283" s="38" t="str">
        <x:f>"11988016699"</x:f>
        <x:v>11988016699</x:v>
      </x:c>
      <x:c r="F283" s="38" t="str">
        <x:v>hayna.nascimento1995@outlook.com</x:v>
      </x:c>
      <x:c r="G283" s="39" t="n">
        <x:v>46183</x:v>
      </x:c>
      <x:c r="H283" s="16" t="str">
        <x:v>06/2026</x:v>
      </x:c>
      <x:c r="I283" s="40" t="n">
        <x:v>470.33</x:v>
      </x:c>
      <x:c r="J283" s="40" t="n">
        <x:v>484.54</x:v>
      </x:c>
      <x:c r="K283" s="16" t="str">
        <x:v>Novo</x:v>
      </x:c>
      <x:c r="L283" s="16" t="str">
        <x:v>Em aberto</x:v>
      </x:c>
      <x:c r="M283" s="16" t="str">
        <x:v>289121d5-010a-45c7-afd2-6feb6ea76285</x:v>
      </x:c>
      <x:c r="N283" s="41" t="str"/>
    </x:row>
    <x:row r="284">
      <x:c r="A284" s="42" t="str">
        <x:f>"98"</x:f>
        <x:v>98</x:v>
      </x:c>
      <x:c r="B284" s="43" t="str">
        <x:f>"5"</x:f>
        <x:v>5</x:v>
      </x:c>
      <x:c r="C284" s="43" t="str">
        <x:v>JANAINA FARIAS DOS SANTOS</x:v>
      </x:c>
      <x:c r="D284" s="43" t="str">
        <x:f>"47766472813"</x:f>
        <x:v>47766472813</x:v>
      </x:c>
      <x:c r="E284" s="43" t="str">
        <x:f>"15996337050"</x:f>
        <x:v>15996337050</x:v>
      </x:c>
      <x:c r="F284" s="43" t="str">
        <x:v>janainafarias827@gmail.com</x:v>
      </x:c>
      <x:c r="G284" s="44" t="n">
        <x:v>46183</x:v>
      </x:c>
      <x:c r="H284" s="20" t="str">
        <x:v>06/2026</x:v>
      </x:c>
      <x:c r="I284" s="45" t="n">
        <x:v>454.4</x:v>
      </x:c>
      <x:c r="J284" s="45" t="n">
        <x:v>468.12</x:v>
      </x:c>
      <x:c r="K284" s="20" t="str">
        <x:v>Novo</x:v>
      </x:c>
      <x:c r="L284" s="20" t="str">
        <x:v>Em aberto</x:v>
      </x:c>
      <x:c r="M284" s="20" t="str">
        <x:v>55905d43-0925-47bb-92aa-99cd27c8d604</x:v>
      </x:c>
      <x:c r="N284" s="46" t="str"/>
    </x:row>
    <x:row r="285">
      <x:c r="A285" s="47" t="str">
        <x:v>Subtotal</x:v>
      </x:c>
      <x:c r="B285" s="47" t="str"/>
      <x:c r="C285" s="47" t="str"/>
      <x:c r="D285" s="47" t="str"/>
      <x:c r="E285" s="47" t="str"/>
      <x:c r="F285" s="47" t="str"/>
      <x:c r="G285" s="47" t="str"/>
      <x:c r="H285" s="47" t="str"/>
      <x:c r="I285" s="47" t="str"/>
      <x:c r="J285" s="48" t="n">
        <x:v>116130.09</x:v>
      </x:c>
      <x:c r="K285" s="47" t="str">
        <x:v>248 novas</x:v>
      </x:c>
      <x:c r="L285" s="47" t="str">
        <x:v>1 ativas</x:v>
      </x:c>
      <x:c r="M285" s="47" t="str"/>
      <x:c r="N285" s="47" t="str"/>
    </x:row>
    <x:row r="287">
      <x:c r="A287" s="26" t="str">
        <x:v>Vn Casa Topazio</x:v>
      </x:c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</x:row>
    <x:row r="288">
      <x:c r="A288" s="28" t="str">
        <x:v>CNPJ</x:v>
      </x:c>
      <x:c r="B288" s="28" t="str">
        <x:v>27.859.053/0001-19</x:v>
      </x:c>
      <x:c r="C288" s="28"/>
      <x:c r="D288" s="28" t="str">
        <x:v>Dia de vencimento</x:v>
      </x:c>
      <x:c r="E288" s="28" t="n">
        <x:v>10</x:v>
      </x:c>
      <x:c r="F288" s="28" t="str">
        <x:v>Régua</x:v>
      </x:c>
      <x:c r="G288" s="28" t="str">
        <x:v>D+30</x:v>
      </x:c>
      <x:c r="H288" s="28"/>
      <x:c r="I288" s="28"/>
      <x:c r="J288" s="28"/>
      <x:c r="K288" s="28"/>
      <x:c r="L288" s="28"/>
      <x:c r="M288" s="28"/>
      <x:c r="N288" s="28"/>
    </x:row>
    <x:row r="289">
      <x:c r="A289" s="9" t="str">
        <x:v>Unidade</x:v>
      </x:c>
      <x:c r="B289" s="9" t="str">
        <x:v>Bloco</x:v>
      </x:c>
      <x:c r="C289" s="9" t="str">
        <x:v>Responsável</x:v>
      </x:c>
      <x:c r="D289" s="9" t="str">
        <x:v>Documento</x:v>
      </x:c>
      <x:c r="E289" s="9" t="str">
        <x:v>Telefone</x:v>
      </x:c>
      <x:c r="F289" s="9" t="str">
        <x:v>E-mail</x:v>
      </x:c>
      <x:c r="G289" s="9" t="str">
        <x:v>Vencimento</x:v>
      </x:c>
      <x:c r="H289" s="9" t="str">
        <x:v>Competência</x:v>
      </x:c>
      <x:c r="I289" s="9" t="str">
        <x:v>Valor original</x:v>
      </x:c>
      <x:c r="J289" s="9" t="str">
        <x:v>Valor atualizado</x:v>
      </x:c>
      <x:c r="K289" s="9" t="str">
        <x:v>Status operacional</x:v>
      </x:c>
      <x:c r="L289" s="9" t="str">
        <x:v>Status financeiro</x:v>
      </x:c>
      <x:c r="M289" s="9" t="str">
        <x:v>ID cobrança</x:v>
      </x:c>
      <x:c r="N289" s="9" t="str">
        <x:v>Observação</x:v>
      </x:c>
    </x:row>
    <x:row r="290">
      <x:c r="A290" s="31" t="str">
        <x:f>"000607"</x:f>
        <x:v>000607</x:v>
      </x:c>
      <x:c r="B290" s="32" t="str">
        <x:f>"0"</x:f>
        <x:v>0</x:v>
      </x:c>
      <x:c r="C290" s="32" t="str">
        <x:v>MARCEL VINICIUS MONTEIRO</x:v>
      </x:c>
      <x:c r="D290" s="32" t="str">
        <x:f>""</x:f>
      </x:c>
      <x:c r="E290" s="32" t="str">
        <x:f>""</x:f>
      </x:c>
      <x:c r="F290" s="32" t="str"/>
      <x:c r="G290" s="33" t="n">
        <x:v>46063</x:v>
      </x:c>
      <x:c r="H290" s="34" t="str">
        <x:v>02/2026</x:v>
      </x:c>
      <x:c r="I290" s="35" t="n">
        <x:v>1084.71</x:v>
      </x:c>
      <x:c r="J290" s="35" t="n">
        <x:v>1213.93</x:v>
      </x:c>
      <x:c r="K290" s="34" t="str">
        <x:v>Novo</x:v>
      </x:c>
      <x:c r="L290" s="34" t="str">
        <x:v>Em aberto</x:v>
      </x:c>
      <x:c r="M290" s="34" t="str">
        <x:v>5d7ebcae-402a-4204-b935-41b4a04bfe88</x:v>
      </x:c>
      <x:c r="N290" s="36" t="str"/>
    </x:row>
    <x:row r="291">
      <x:c r="A291" s="37" t="str">
        <x:f>"000607"</x:f>
        <x:v>000607</x:v>
      </x:c>
      <x:c r="B291" s="38" t="str">
        <x:f>"0"</x:f>
        <x:v>0</x:v>
      </x:c>
      <x:c r="C291" s="38" t="str">
        <x:v>MARCEL VINICIUS MONTEIRO</x:v>
      </x:c>
      <x:c r="D291" s="38" t="str">
        <x:f>""</x:f>
      </x:c>
      <x:c r="E291" s="38" t="str">
        <x:f>""</x:f>
      </x:c>
      <x:c r="F291" s="38" t="str"/>
      <x:c r="G291" s="39" t="n">
        <x:v>46091</x:v>
      </x:c>
      <x:c r="H291" s="16" t="str">
        <x:v>03/2026</x:v>
      </x:c>
      <x:c r="I291" s="40" t="n">
        <x:v>1049.17</x:v>
      </x:c>
      <x:c r="J291" s="40" t="n">
        <x:v>1160.76</x:v>
      </x:c>
      <x:c r="K291" s="16" t="str">
        <x:v>Novo</x:v>
      </x:c>
      <x:c r="L291" s="16" t="str">
        <x:v>Em aberto</x:v>
      </x:c>
      <x:c r="M291" s="16" t="str">
        <x:v>406bf936-cf55-4120-b474-e62d174c5776</x:v>
      </x:c>
      <x:c r="N291" s="41" t="str"/>
    </x:row>
    <x:row r="292">
      <x:c r="A292" s="37" t="str">
        <x:f>"000607"</x:f>
        <x:v>000607</x:v>
      </x:c>
      <x:c r="B292" s="38" t="str">
        <x:f>"0"</x:f>
        <x:v>0</x:v>
      </x:c>
      <x:c r="C292" s="38" t="str">
        <x:v>MARCEL VINICIUS MONTEIRO</x:v>
      </x:c>
      <x:c r="D292" s="38" t="str">
        <x:f>""</x:f>
      </x:c>
      <x:c r="E292" s="38" t="str">
        <x:f>""</x:f>
      </x:c>
      <x:c r="F292" s="38" t="str"/>
      <x:c r="G292" s="39" t="n">
        <x:v>46122</x:v>
      </x:c>
      <x:c r="H292" s="16" t="str">
        <x:v>04/2026</x:v>
      </x:c>
      <x:c r="I292" s="40" t="n">
        <x:v>1033.95</x:v>
      </x:c>
      <x:c r="J292" s="40" t="n">
        <x:v>1123.6</x:v>
      </x:c>
      <x:c r="K292" s="16" t="str">
        <x:v>Novo</x:v>
      </x:c>
      <x:c r="L292" s="16" t="str">
        <x:v>Em aberto</x:v>
      </x:c>
      <x:c r="M292" s="16" t="str">
        <x:v>7226b7ba-c7b1-4c71-a3b0-2024a48ec8ae</x:v>
      </x:c>
      <x:c r="N292" s="41" t="str"/>
    </x:row>
    <x:row r="293">
      <x:c r="A293" s="37" t="str">
        <x:f>"000607"</x:f>
        <x:v>000607</x:v>
      </x:c>
      <x:c r="B293" s="38" t="str">
        <x:f>"0"</x:f>
        <x:v>0</x:v>
      </x:c>
      <x:c r="C293" s="38" t="str">
        <x:v>MARCEL VINICIUS MONTEIRO</x:v>
      </x:c>
      <x:c r="D293" s="38" t="str">
        <x:f>""</x:f>
      </x:c>
      <x:c r="E293" s="38" t="str">
        <x:f>""</x:f>
      </x:c>
      <x:c r="F293" s="38" t="str"/>
      <x:c r="G293" s="39" t="n">
        <x:v>46152</x:v>
      </x:c>
      <x:c r="H293" s="16" t="str">
        <x:v>05/2026</x:v>
      </x:c>
      <x:c r="I293" s="40" t="n">
        <x:v>1011.73</x:v>
      </x:c>
      <x:c r="J293" s="40" t="n">
        <x:v>1084.1</x:v>
      </x:c>
      <x:c r="K293" s="16" t="str">
        <x:v>Novo</x:v>
      </x:c>
      <x:c r="L293" s="16" t="str">
        <x:v>Em aberto</x:v>
      </x:c>
      <x:c r="M293" s="16" t="str">
        <x:v>37dd7491-902f-4ccc-b5e1-a15328bd5762</x:v>
      </x:c>
      <x:c r="N293" s="41" t="str"/>
    </x:row>
    <x:row r="294">
      <x:c r="A294" s="37" t="str">
        <x:f>"000607"</x:f>
        <x:v>000607</x:v>
      </x:c>
      <x:c r="B294" s="38" t="str">
        <x:f>"0"</x:f>
        <x:v>0</x:v>
      </x:c>
      <x:c r="C294" s="38" t="str">
        <x:v>MARCEL VINICIUS MONTEIRO</x:v>
      </x:c>
      <x:c r="D294" s="38" t="str">
        <x:f>""</x:f>
      </x:c>
      <x:c r="E294" s="38" t="str">
        <x:f>""</x:f>
      </x:c>
      <x:c r="F294" s="38" t="str"/>
      <x:c r="G294" s="39" t="n">
        <x:v>46183</x:v>
      </x:c>
      <x:c r="H294" s="16" t="str">
        <x:v>06/2026</x:v>
      </x:c>
      <x:c r="I294" s="40" t="n">
        <x:v>1117.12</x:v>
      </x:c>
      <x:c r="J294" s="40" t="n">
        <x:v>1174.95</x:v>
      </x:c>
      <x:c r="K294" s="16" t="str">
        <x:v>Novo</x:v>
      </x:c>
      <x:c r="L294" s="16" t="str">
        <x:v>Em aberto</x:v>
      </x:c>
      <x:c r="M294" s="16" t="str">
        <x:v>18e045a1-1ddf-471c-b11f-7b868b6de4f2</x:v>
      </x:c>
      <x:c r="N294" s="41" t="str"/>
    </x:row>
    <x:row r="295">
      <x:c r="A295" s="37" t="str">
        <x:f>"000607"</x:f>
        <x:v>000607</x:v>
      </x:c>
      <x:c r="B295" s="38" t="str">
        <x:f>"0"</x:f>
        <x:v>0</x:v>
      </x:c>
      <x:c r="C295" s="38" t="str">
        <x:v>MARCEL VINICIUS MONTEIRO</x:v>
      </x:c>
      <x:c r="D295" s="38" t="str">
        <x:f>""</x:f>
      </x:c>
      <x:c r="E295" s="38" t="str">
        <x:f>""</x:f>
      </x:c>
      <x:c r="F295" s="38" t="str"/>
      <x:c r="G295" s="39" t="n">
        <x:v>46213</x:v>
      </x:c>
      <x:c r="H295" s="16" t="str">
        <x:v>07/2026</x:v>
      </x:c>
      <x:c r="I295" s="40" t="n">
        <x:v>1138.88</x:v>
      </x:c>
      <x:c r="J295" s="40" t="n">
        <x:v>1178.79</x:v>
      </x:c>
      <x:c r="K295" s="16" t="str">
        <x:v>Novo</x:v>
      </x:c>
      <x:c r="L295" s="16" t="str">
        <x:v>Em aberto</x:v>
      </x:c>
      <x:c r="M295" s="16" t="str">
        <x:v>c8285700-ec98-41c8-ac99-ce73311c4d49</x:v>
      </x:c>
      <x:c r="N295" s="41" t="str"/>
    </x:row>
    <x:row r="296">
      <x:c r="A296" s="37" t="str">
        <x:f>"001004"</x:f>
        <x:v>001004</x:v>
      </x:c>
      <x:c r="B296" s="38" t="str">
        <x:f>"0"</x:f>
        <x:v>0</x:v>
      </x:c>
      <x:c r="C296" s="38" t="str">
        <x:v>LEONARDO EMI</x:v>
      </x:c>
      <x:c r="D296" s="38" t="str">
        <x:f>""</x:f>
      </x:c>
      <x:c r="E296" s="38" t="str">
        <x:f>""</x:f>
      </x:c>
      <x:c r="F296" s="38" t="str"/>
      <x:c r="G296" s="39" t="n">
        <x:v>46032</x:v>
      </x:c>
      <x:c r="H296" s="16" t="str">
        <x:v>01/2026</x:v>
      </x:c>
      <x:c r="I296" s="40" t="n">
        <x:v>33</x:v>
      </x:c>
      <x:c r="J296" s="40" t="n">
        <x:v>37.37</x:v>
      </x:c>
      <x:c r="K296" s="16" t="str">
        <x:v>Novo</x:v>
      </x:c>
      <x:c r="L296" s="16" t="str">
        <x:v>Em aberto</x:v>
      </x:c>
      <x:c r="M296" s="16" t="str">
        <x:v>6eb03c31-ab59-44e6-a4ab-6492802ee174</x:v>
      </x:c>
      <x:c r="N296" s="41" t="str"/>
    </x:row>
    <x:row r="297">
      <x:c r="A297" s="37" t="str">
        <x:f>"001004"</x:f>
        <x:v>001004</x:v>
      </x:c>
      <x:c r="B297" s="38" t="str">
        <x:f>"0"</x:f>
        <x:v>0</x:v>
      </x:c>
      <x:c r="C297" s="38" t="str">
        <x:v>LEONARDO EMI</x:v>
      </x:c>
      <x:c r="D297" s="38" t="str">
        <x:f>""</x:f>
      </x:c>
      <x:c r="E297" s="38" t="str">
        <x:f>""</x:f>
      </x:c>
      <x:c r="F297" s="38" t="str"/>
      <x:c r="G297" s="39" t="n">
        <x:v>46213</x:v>
      </x:c>
      <x:c r="H297" s="16" t="str">
        <x:v>07/2026</x:v>
      </x:c>
      <x:c r="I297" s="40" t="n">
        <x:v>992.01</x:v>
      </x:c>
      <x:c r="J297" s="40" t="n">
        <x:v>1026.77</x:v>
      </x:c>
      <x:c r="K297" s="16" t="str">
        <x:v>Novo</x:v>
      </x:c>
      <x:c r="L297" s="16" t="str">
        <x:v>Em aberto</x:v>
      </x:c>
      <x:c r="M297" s="16" t="str">
        <x:v>a5a52887-97e0-4a6c-abc7-88f6a8192481</x:v>
      </x:c>
      <x:c r="N297" s="41" t="str"/>
    </x:row>
    <x:row r="298">
      <x:c r="A298" s="37" t="str">
        <x:f>"001107"</x:f>
        <x:v>001107</x:v>
      </x:c>
      <x:c r="B298" s="38" t="str">
        <x:f>"0"</x:f>
        <x:v>0</x:v>
      </x:c>
      <x:c r="C298" s="38" t="str">
        <x:v>ILCA EDITA SIERRA FURTADO</x:v>
      </x:c>
      <x:c r="D298" s="38" t="str">
        <x:f>""</x:f>
      </x:c>
      <x:c r="E298" s="38" t="str">
        <x:f>""</x:f>
      </x:c>
      <x:c r="F298" s="38" t="str"/>
      <x:c r="G298" s="39" t="n">
        <x:v>46122</x:v>
      </x:c>
      <x:c r="H298" s="16" t="str">
        <x:v>04/2026</x:v>
      </x:c>
      <x:c r="I298" s="40" t="n">
        <x:v>901.54</x:v>
      </x:c>
      <x:c r="J298" s="40" t="n">
        <x:v>979.7</x:v>
      </x:c>
      <x:c r="K298" s="16" t="str">
        <x:v>Novo</x:v>
      </x:c>
      <x:c r="L298" s="16" t="str">
        <x:v>Em aberto</x:v>
      </x:c>
      <x:c r="M298" s="16" t="str">
        <x:v>53205315-9b71-4e84-98c8-467e077b8380</x:v>
      </x:c>
      <x:c r="N298" s="41" t="str"/>
    </x:row>
    <x:row r="299">
      <x:c r="A299" s="37" t="str">
        <x:f>"001107"</x:f>
        <x:v>001107</x:v>
      </x:c>
      <x:c r="B299" s="38" t="str">
        <x:f>"0"</x:f>
        <x:v>0</x:v>
      </x:c>
      <x:c r="C299" s="38" t="str">
        <x:v>ILCA EDITA SIERRA FURTADO</x:v>
      </x:c>
      <x:c r="D299" s="38" t="str">
        <x:f>""</x:f>
      </x:c>
      <x:c r="E299" s="38" t="str">
        <x:f>""</x:f>
      </x:c>
      <x:c r="F299" s="38" t="str"/>
      <x:c r="G299" s="39" t="n">
        <x:v>46183</x:v>
      </x:c>
      <x:c r="H299" s="16" t="str">
        <x:v>06/2026</x:v>
      </x:c>
      <x:c r="I299" s="40" t="n">
        <x:v>973.25</x:v>
      </x:c>
      <x:c r="J299" s="40" t="n">
        <x:v>1023.64</x:v>
      </x:c>
      <x:c r="K299" s="16" t="str">
        <x:v>Novo</x:v>
      </x:c>
      <x:c r="L299" s="16" t="str">
        <x:v>Em aberto</x:v>
      </x:c>
      <x:c r="M299" s="16" t="str">
        <x:v>2928bd58-7693-44c1-8252-bb4598b58939</x:v>
      </x:c>
      <x:c r="N299" s="41" t="str"/>
    </x:row>
    <x:row r="300">
      <x:c r="A300" s="37" t="str">
        <x:f>"001108"</x:f>
        <x:v>001108</x:v>
      </x:c>
      <x:c r="B300" s="38" t="str">
        <x:f>"0"</x:f>
        <x:v>0</x:v>
      </x:c>
      <x:c r="C300" s="38" t="str">
        <x:v>MAYARA DE LIMA REIS</x:v>
      </x:c>
      <x:c r="D300" s="38" t="str">
        <x:f>""</x:f>
      </x:c>
      <x:c r="E300" s="38" t="str">
        <x:f>""</x:f>
      </x:c>
      <x:c r="F300" s="38" t="str"/>
      <x:c r="G300" s="39" t="n">
        <x:v>46213</x:v>
      </x:c>
      <x:c r="H300" s="16" t="str">
        <x:v>07/2026</x:v>
      </x:c>
      <x:c r="I300" s="40" t="n">
        <x:v>2120.9</x:v>
      </x:c>
      <x:c r="J300" s="40" t="n">
        <x:v>2195.23</x:v>
      </x:c>
      <x:c r="K300" s="16" t="str">
        <x:v>Novo</x:v>
      </x:c>
      <x:c r="L300" s="16" t="str">
        <x:v>Em aberto</x:v>
      </x:c>
      <x:c r="M300" s="16" t="str">
        <x:v>633c83b4-78e1-4c15-b908-bdf6857690b3</x:v>
      </x:c>
      <x:c r="N300" s="41" t="str"/>
    </x:row>
    <x:row r="301">
      <x:c r="A301" s="37" t="str">
        <x:f>"001203"</x:f>
        <x:v>001203</x:v>
      </x:c>
      <x:c r="B301" s="38" t="str">
        <x:f>"0"</x:f>
        <x:v>0</x:v>
      </x:c>
      <x:c r="C301" s="38" t="str">
        <x:v>DERMEVAL RAMOS NETO</x:v>
      </x:c>
      <x:c r="D301" s="38" t="str">
        <x:f>""</x:f>
      </x:c>
      <x:c r="E301" s="38" t="str">
        <x:f>""</x:f>
      </x:c>
      <x:c r="F301" s="38" t="str"/>
      <x:c r="G301" s="39" t="n">
        <x:v>46213</x:v>
      </x:c>
      <x:c r="H301" s="16" t="str">
        <x:v>07/2026</x:v>
      </x:c>
      <x:c r="I301" s="40" t="n">
        <x:v>992.01</x:v>
      </x:c>
      <x:c r="J301" s="40" t="n">
        <x:v>1026.77</x:v>
      </x:c>
      <x:c r="K301" s="16" t="str">
        <x:v>Novo</x:v>
      </x:c>
      <x:c r="L301" s="16" t="str">
        <x:v>Em aberto</x:v>
      </x:c>
      <x:c r="M301" s="16" t="str">
        <x:v>cd06de18-f13a-45b1-9490-f018bdcc64b7</x:v>
      </x:c>
      <x:c r="N301" s="41" t="str"/>
    </x:row>
    <x:row r="302">
      <x:c r="A302" s="37" t="str">
        <x:f>"001207"</x:f>
        <x:v>001207</x:v>
      </x:c>
      <x:c r="B302" s="38" t="str">
        <x:f>"0"</x:f>
        <x:v>0</x:v>
      </x:c>
      <x:c r="C302" s="38" t="str">
        <x:v>JOAO AILTON JUNIOR DA SILVA</x:v>
      </x:c>
      <x:c r="D302" s="38" t="str">
        <x:f>""</x:f>
      </x:c>
      <x:c r="E302" s="38" t="str">
        <x:f>""</x:f>
      </x:c>
      <x:c r="F302" s="38" t="str"/>
      <x:c r="G302" s="39" t="n">
        <x:v>46152</x:v>
      </x:c>
      <x:c r="H302" s="16" t="str">
        <x:v>05/2026</x:v>
      </x:c>
      <x:c r="I302" s="40" t="n">
        <x:v>882.38</x:v>
      </x:c>
      <x:c r="J302" s="40" t="n">
        <x:v>945.51</x:v>
      </x:c>
      <x:c r="K302" s="16" t="str">
        <x:v>Novo</x:v>
      </x:c>
      <x:c r="L302" s="16" t="str">
        <x:v>Em aberto</x:v>
      </x:c>
      <x:c r="M302" s="16" t="str">
        <x:v>e8b03aa3-b28c-4a38-bdf8-1d490a2962e4</x:v>
      </x:c>
      <x:c r="N302" s="41" t="str"/>
    </x:row>
    <x:row r="303">
      <x:c r="A303" s="37" t="str">
        <x:f>"001207"</x:f>
        <x:v>001207</x:v>
      </x:c>
      <x:c r="B303" s="38" t="str">
        <x:f>"0"</x:f>
        <x:v>0</x:v>
      </x:c>
      <x:c r="C303" s="38" t="str">
        <x:v>JOAO AILTON JUNIOR DA SILVA</x:v>
      </x:c>
      <x:c r="D303" s="38" t="str">
        <x:f>""</x:f>
      </x:c>
      <x:c r="E303" s="38" t="str">
        <x:f>""</x:f>
      </x:c>
      <x:c r="F303" s="38" t="str"/>
      <x:c r="G303" s="39" t="n">
        <x:v>46183</x:v>
      </x:c>
      <x:c r="H303" s="16" t="str">
        <x:v>06/2026</x:v>
      </x:c>
      <x:c r="I303" s="40" t="n">
        <x:v>973.25</x:v>
      </x:c>
      <x:c r="J303" s="40" t="n">
        <x:v>1023.64</x:v>
      </x:c>
      <x:c r="K303" s="16" t="str">
        <x:v>Novo</x:v>
      </x:c>
      <x:c r="L303" s="16" t="str">
        <x:v>Em aberto</x:v>
      </x:c>
      <x:c r="M303" s="16" t="str">
        <x:v>8b1512ba-5c08-42b1-b678-e65743db09ae</x:v>
      </x:c>
      <x:c r="N303" s="41" t="str"/>
    </x:row>
    <x:row r="304">
      <x:c r="A304" s="37" t="str">
        <x:f>"001207"</x:f>
        <x:v>001207</x:v>
      </x:c>
      <x:c r="B304" s="38" t="str">
        <x:f>"0"</x:f>
        <x:v>0</x:v>
      </x:c>
      <x:c r="C304" s="38" t="str">
        <x:v>JOAO AILTON JUNIOR DA SILVA</x:v>
      </x:c>
      <x:c r="D304" s="38" t="str">
        <x:f>""</x:f>
      </x:c>
      <x:c r="E304" s="38" t="str">
        <x:f>""</x:f>
      </x:c>
      <x:c r="F304" s="38" t="str"/>
      <x:c r="G304" s="39" t="n">
        <x:v>46213</x:v>
      </x:c>
      <x:c r="H304" s="16" t="str">
        <x:v>07/2026</x:v>
      </x:c>
      <x:c r="I304" s="40" t="n">
        <x:v>992.01</x:v>
      </x:c>
      <x:c r="J304" s="40" t="n">
        <x:v>1026.77</x:v>
      </x:c>
      <x:c r="K304" s="16" t="str">
        <x:v>Novo</x:v>
      </x:c>
      <x:c r="L304" s="16" t="str">
        <x:v>Em aberto</x:v>
      </x:c>
      <x:c r="M304" s="16" t="str">
        <x:v>102347de-2a99-4e95-a98d-4df54396dcf2</x:v>
      </x:c>
      <x:c r="N304" s="41" t="str"/>
    </x:row>
    <x:row r="305">
      <x:c r="A305" s="37" t="str">
        <x:f>"001603"</x:f>
        <x:v>001603</x:v>
      </x:c>
      <x:c r="B305" s="38" t="str">
        <x:f>"0"</x:f>
        <x:v>0</x:v>
      </x:c>
      <x:c r="C305" s="38" t="str">
        <x:v>MISTER GUTTILLA ADMINISTRACAO</x:v>
      </x:c>
      <x:c r="D305" s="38" t="str">
        <x:f>""</x:f>
      </x:c>
      <x:c r="E305" s="38" t="str">
        <x:f>""</x:f>
      </x:c>
      <x:c r="F305" s="38" t="str"/>
      <x:c r="G305" s="39" t="n">
        <x:v>46213</x:v>
      </x:c>
      <x:c r="H305" s="16" t="str">
        <x:v>07/2026</x:v>
      </x:c>
      <x:c r="I305" s="40" t="n">
        <x:v>992.01</x:v>
      </x:c>
      <x:c r="J305" s="40" t="n">
        <x:v>1026.77</x:v>
      </x:c>
      <x:c r="K305" s="16" t="str">
        <x:v>Novo</x:v>
      </x:c>
      <x:c r="L305" s="16" t="str">
        <x:v>Em aberto</x:v>
      </x:c>
      <x:c r="M305" s="16" t="str">
        <x:v>8bb08144-e76e-4ada-b072-768e4989533d</x:v>
      </x:c>
      <x:c r="N305" s="41" t="str"/>
    </x:row>
    <x:row r="306">
      <x:c r="A306" s="37" t="str">
        <x:f>"002004"</x:f>
        <x:v>002004</x:v>
      </x:c>
      <x:c r="B306" s="38" t="str">
        <x:f>"0"</x:f>
        <x:v>0</x:v>
      </x:c>
      <x:c r="C306" s="38" t="str">
        <x:v>CELIA REGINA LOPES MELO FIGUEIREDO</x:v>
      </x:c>
      <x:c r="D306" s="38" t="str">
        <x:f>""</x:f>
      </x:c>
      <x:c r="E306" s="38" t="str">
        <x:f>""</x:f>
      </x:c>
      <x:c r="F306" s="38" t="str"/>
      <x:c r="G306" s="39" t="n">
        <x:v>46213</x:v>
      </x:c>
      <x:c r="H306" s="16" t="str">
        <x:v>07/2026</x:v>
      </x:c>
      <x:c r="I306" s="40" t="n">
        <x:v>992.01</x:v>
      </x:c>
      <x:c r="J306" s="40" t="n">
        <x:v>1026.77</x:v>
      </x:c>
      <x:c r="K306" s="16" t="str">
        <x:v>Novo</x:v>
      </x:c>
      <x:c r="L306" s="16" t="str">
        <x:v>Em aberto</x:v>
      </x:c>
      <x:c r="M306" s="16" t="str">
        <x:v>7a8d934b-afa4-4de1-b2b7-c9a784355e2e</x:v>
      </x:c>
      <x:c r="N306" s="41" t="str"/>
    </x:row>
    <x:row r="307">
      <x:c r="A307" s="37" t="str">
        <x:f>"002109"</x:f>
        <x:v>002109</x:v>
      </x:c>
      <x:c r="B307" s="38" t="str">
        <x:f>"0"</x:f>
        <x:v>0</x:v>
      </x:c>
      <x:c r="C307" s="38" t="str">
        <x:v>DANIEL S CAMPOS</x:v>
      </x:c>
      <x:c r="D307" s="38" t="str">
        <x:f>""</x:f>
      </x:c>
      <x:c r="E307" s="38" t="str">
        <x:f>""</x:f>
      </x:c>
      <x:c r="F307" s="38" t="str"/>
      <x:c r="G307" s="39" t="n">
        <x:v>46183</x:v>
      </x:c>
      <x:c r="H307" s="16" t="str">
        <x:v>06/2026</x:v>
      </x:c>
      <x:c r="I307" s="40" t="n">
        <x:v>1316.9</x:v>
      </x:c>
      <x:c r="J307" s="40" t="n">
        <x:v>1385.08</x:v>
      </x:c>
      <x:c r="K307" s="16" t="str">
        <x:v>Novo</x:v>
      </x:c>
      <x:c r="L307" s="16" t="str">
        <x:v>Em aberto</x:v>
      </x:c>
      <x:c r="M307" s="16" t="str">
        <x:v>ac336ed5-30e4-4523-a3f5-6d5d6da06fa4</x:v>
      </x:c>
      <x:c r="N307" s="41" t="str"/>
    </x:row>
    <x:row r="308">
      <x:c r="A308" s="37" t="str">
        <x:f>"002109"</x:f>
        <x:v>002109</x:v>
      </x:c>
      <x:c r="B308" s="38" t="str">
        <x:f>"0"</x:f>
        <x:v>0</x:v>
      </x:c>
      <x:c r="C308" s="38" t="str">
        <x:v>DANIEL S CAMPOS</x:v>
      </x:c>
      <x:c r="D308" s="38" t="str">
        <x:f>""</x:f>
      </x:c>
      <x:c r="E308" s="38" t="str">
        <x:f>""</x:f>
      </x:c>
      <x:c r="F308" s="38" t="str"/>
      <x:c r="G308" s="39" t="n">
        <x:v>46213</x:v>
      </x:c>
      <x:c r="H308" s="16" t="str">
        <x:v>07/2026</x:v>
      </x:c>
      <x:c r="I308" s="40" t="n">
        <x:v>1342.82</x:v>
      </x:c>
      <x:c r="J308" s="40" t="n">
        <x:v>1389.88</x:v>
      </x:c>
      <x:c r="K308" s="16" t="str">
        <x:v>Novo</x:v>
      </x:c>
      <x:c r="L308" s="16" t="str">
        <x:v>Em aberto</x:v>
      </x:c>
      <x:c r="M308" s="16" t="str">
        <x:v>371e1fa5-266c-493d-a94d-364350a9f936</x:v>
      </x:c>
      <x:c r="N308" s="41" t="str"/>
    </x:row>
    <x:row r="309">
      <x:c r="A309" s="37" t="str">
        <x:f>"002110"</x:f>
        <x:v>002110</x:v>
      </x:c>
      <x:c r="B309" s="38" t="str">
        <x:f>"0"</x:f>
        <x:v>0</x:v>
      </x:c>
      <x:c r="C309" s="38" t="str">
        <x:v>RAQUEL CABRERA DE OLIVEIRA</x:v>
      </x:c>
      <x:c r="D309" s="38" t="str">
        <x:f>""</x:f>
      </x:c>
      <x:c r="E309" s="38" t="str">
        <x:f>""</x:f>
      </x:c>
      <x:c r="F309" s="38" t="str"/>
      <x:c r="G309" s="39" t="n">
        <x:v>46122</x:v>
      </x:c>
      <x:c r="H309" s="16" t="str">
        <x:v>04/2026</x:v>
      </x:c>
      <x:c r="I309" s="40" t="n">
        <x:v>901.54</x:v>
      </x:c>
      <x:c r="J309" s="40" t="n">
        <x:v>979.7</x:v>
      </x:c>
      <x:c r="K309" s="16" t="str">
        <x:v>Novo</x:v>
      </x:c>
      <x:c r="L309" s="16" t="str">
        <x:v>Em aberto</x:v>
      </x:c>
      <x:c r="M309" s="16" t="str">
        <x:v>974dc7d0-0e66-41f2-b9af-a9c0c299ec1d</x:v>
      </x:c>
      <x:c r="N309" s="41" t="str"/>
    </x:row>
    <x:row r="310">
      <x:c r="A310" s="37" t="str">
        <x:f>"002110"</x:f>
        <x:v>002110</x:v>
      </x:c>
      <x:c r="B310" s="38" t="str">
        <x:f>"0"</x:f>
        <x:v>0</x:v>
      </x:c>
      <x:c r="C310" s="38" t="str">
        <x:v>RAQUEL CABRERA DE OLIVEIRA</x:v>
      </x:c>
      <x:c r="D310" s="38" t="str">
        <x:f>""</x:f>
      </x:c>
      <x:c r="E310" s="38" t="str">
        <x:f>""</x:f>
      </x:c>
      <x:c r="F310" s="38" t="str"/>
      <x:c r="G310" s="39" t="n">
        <x:v>46152</x:v>
      </x:c>
      <x:c r="H310" s="16" t="str">
        <x:v>05/2026</x:v>
      </x:c>
      <x:c r="I310" s="40" t="n">
        <x:v>882.38</x:v>
      </x:c>
      <x:c r="J310" s="40" t="n">
        <x:v>945.51</x:v>
      </x:c>
      <x:c r="K310" s="16" t="str">
        <x:v>Novo</x:v>
      </x:c>
      <x:c r="L310" s="16" t="str">
        <x:v>Em aberto</x:v>
      </x:c>
      <x:c r="M310" s="16" t="str">
        <x:v>7eae20a2-914e-442d-a49c-078828041b62</x:v>
      </x:c>
      <x:c r="N310" s="41" t="str"/>
    </x:row>
    <x:row r="311">
      <x:c r="A311" s="42" t="str">
        <x:f>"002110"</x:f>
        <x:v>002110</x:v>
      </x:c>
      <x:c r="B311" s="43" t="str">
        <x:f>"0"</x:f>
        <x:v>0</x:v>
      </x:c>
      <x:c r="C311" s="43" t="str">
        <x:v>RAQUEL CABRERA DE OLIVEIRA</x:v>
      </x:c>
      <x:c r="D311" s="43" t="str">
        <x:f>""</x:f>
      </x:c>
      <x:c r="E311" s="43" t="str">
        <x:f>""</x:f>
      </x:c>
      <x:c r="F311" s="43" t="str"/>
      <x:c r="G311" s="44" t="n">
        <x:v>46213</x:v>
      </x:c>
      <x:c r="H311" s="20" t="str">
        <x:v>07/2026</x:v>
      </x:c>
      <x:c r="I311" s="45" t="n">
        <x:v>992.01</x:v>
      </x:c>
      <x:c r="J311" s="45" t="n">
        <x:v>1026.77</x:v>
      </x:c>
      <x:c r="K311" s="20" t="str">
        <x:v>Novo</x:v>
      </x:c>
      <x:c r="L311" s="20" t="str">
        <x:v>Em aberto</x:v>
      </x:c>
      <x:c r="M311" s="20" t="str">
        <x:v>4bb6f6a5-7109-4958-bb70-54938536a596</x:v>
      </x:c>
      <x:c r="N311" s="46" t="str"/>
    </x:row>
    <x:row r="312">
      <x:c r="A312" s="47" t="str">
        <x:v>Subtotal</x:v>
      </x:c>
      <x:c r="B312" s="47" t="str"/>
      <x:c r="C312" s="47" t="str"/>
      <x:c r="D312" s="47" t="str"/>
      <x:c r="E312" s="47" t="str"/>
      <x:c r="F312" s="47" t="str"/>
      <x:c r="G312" s="47" t="str"/>
      <x:c r="H312" s="47" t="str"/>
      <x:c r="I312" s="47" t="str"/>
      <x:c r="J312" s="48" t="n">
        <x:v>24002.01</x:v>
      </x:c>
      <x:c r="K312" s="47" t="str">
        <x:v>22 novas</x:v>
      </x:c>
      <x:c r="L312" s="47" t="str">
        <x:v>0 ativas</x:v>
      </x:c>
      <x:c r="M312" s="47" t="str"/>
      <x:c r="N312" s="47" t="str"/>
    </x:row>
    <x:row r="314">
      <x:c r="A314" s="24" t="str">
        <x:v>CARTEIRA: GEKALI · 143 cobranças · 142 novas · 1 ativas · R$ 96.445,57</x:v>
      </x:c>
      <x:c r="B314" s="24"/>
      <x:c r="C314" s="24"/>
      <x:c r="D314" s="24"/>
      <x:c r="E314" s="24"/>
      <x:c r="F314" s="24"/>
      <x:c r="G314" s="24"/>
      <x:c r="H314" s="24"/>
      <x:c r="I314" s="24"/>
      <x:c r="J314" s="24"/>
      <x:c r="K314" s="24"/>
      <x:c r="L314" s="24"/>
      <x:c r="M314" s="24"/>
      <x:c r="N314" s="24"/>
    </x:row>
    <x:row r="316">
      <x:c r="A316" s="26" t="str">
        <x:v>CONDOMÍNIO PANORAMA VILA ROMANA</x:v>
      </x:c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</x:row>
    <x:row r="317">
      <x:c r="A317" s="28" t="str">
        <x:v>CNPJ</x:v>
      </x:c>
      <x:c r="B317" s="28" t="str">
        <x:v>52.989.578/0001-16</x:v>
      </x:c>
      <x:c r="C317" s="28"/>
      <x:c r="D317" s="28" t="str">
        <x:v>Dia de vencimento</x:v>
      </x:c>
      <x:c r="E317" s="28" t="n">
        <x:v>5</x:v>
      </x:c>
      <x:c r="F317" s="28" t="str">
        <x:v>Régua</x:v>
      </x:c>
      <x:c r="G317" s="28" t="str">
        <x:v>D+30</x:v>
      </x:c>
      <x:c r="H317" s="28"/>
      <x:c r="I317" s="28"/>
      <x:c r="J317" s="28"/>
      <x:c r="K317" s="28"/>
      <x:c r="L317" s="28"/>
      <x:c r="M317" s="28"/>
      <x:c r="N317" s="28"/>
    </x:row>
    <x:row r="318">
      <x:c r="A318" s="9" t="str">
        <x:v>Unidade</x:v>
      </x:c>
      <x:c r="B318" s="9" t="str">
        <x:v>Bloco</x:v>
      </x:c>
      <x:c r="C318" s="9" t="str">
        <x:v>Responsável</x:v>
      </x:c>
      <x:c r="D318" s="9" t="str">
        <x:v>Documento</x:v>
      </x:c>
      <x:c r="E318" s="9" t="str">
        <x:v>Telefone</x:v>
      </x:c>
      <x:c r="F318" s="9" t="str">
        <x:v>E-mail</x:v>
      </x:c>
      <x:c r="G318" s="9" t="str">
        <x:v>Vencimento</x:v>
      </x:c>
      <x:c r="H318" s="9" t="str">
        <x:v>Competência</x:v>
      </x:c>
      <x:c r="I318" s="9" t="str">
        <x:v>Valor original</x:v>
      </x:c>
      <x:c r="J318" s="9" t="str">
        <x:v>Valor atualizado</x:v>
      </x:c>
      <x:c r="K318" s="9" t="str">
        <x:v>Status operacional</x:v>
      </x:c>
      <x:c r="L318" s="9" t="str">
        <x:v>Status financeiro</x:v>
      </x:c>
      <x:c r="M318" s="9" t="str">
        <x:v>ID cobrança</x:v>
      </x:c>
      <x:c r="N318" s="9" t="str">
        <x:v>Observação</x:v>
      </x:c>
    </x:row>
    <x:row r="319">
      <x:c r="A319" s="31" t="str">
        <x:f>"000061"</x:f>
        <x:v>000061</x:v>
      </x:c>
      <x:c r="B319" s="32" t="str">
        <x:f>"0"</x:f>
        <x:v>0</x:v>
      </x:c>
      <x:c r="C319" s="32" t="str">
        <x:v>JORGE MELCHIORI DO NASCIMENTO</x:v>
      </x:c>
      <x:c r="D319" s="32" t="str">
        <x:f>"04748577860"</x:f>
        <x:v>04748577860</x:v>
      </x:c>
      <x:c r="E319" s="32" t="str">
        <x:f>"11996864609"</x:f>
        <x:v>11996864609</x:v>
      </x:c>
      <x:c r="F319" s="32" t="str">
        <x:v>melchiori@proinox.com</x:v>
      </x:c>
      <x:c r="G319" s="33" t="n">
        <x:v>46147</x:v>
      </x:c>
      <x:c r="H319" s="34" t="str">
        <x:v>05/2026</x:v>
      </x:c>
      <x:c r="I319" s="35" t="n">
        <x:v>3653.07</x:v>
      </x:c>
      <x:c r="J319" s="35" t="n">
        <x:v>3827.03</x:v>
      </x:c>
      <x:c r="K319" s="34" t="str">
        <x:v>Novo</x:v>
      </x:c>
      <x:c r="L319" s="34" t="str">
        <x:v>Em aberto</x:v>
      </x:c>
      <x:c r="M319" s="34" t="str">
        <x:v>b46ccef3-809d-4dc7-b6fa-e336af59ab83</x:v>
      </x:c>
      <x:c r="N319" s="36" t="str"/>
    </x:row>
    <x:row r="320">
      <x:c r="A320" s="42" t="str">
        <x:f>"000134"</x:f>
        <x:v>000134</x:v>
      </x:c>
      <x:c r="B320" s="43" t="str">
        <x:f>"0"</x:f>
        <x:v>0</x:v>
      </x:c>
      <x:c r="C320" s="43" t="str">
        <x:v>JULIANA PEREIRA GOMES</x:v>
      </x:c>
      <x:c r="D320" s="43" t="str">
        <x:f>"01058699105"</x:f>
        <x:v>01058699105</x:v>
      </x:c>
      <x:c r="E320" s="43" t="str">
        <x:f>"13991759898"</x:f>
        <x:v>13991759898</x:v>
      </x:c>
      <x:c r="F320" s="43" t="str">
        <x:v>julianagommes@yahoo.com.br</x:v>
      </x:c>
      <x:c r="G320" s="44" t="n">
        <x:v>46178</x:v>
      </x:c>
      <x:c r="H320" s="20" t="str">
        <x:v>06/2026</x:v>
      </x:c>
      <x:c r="I320" s="45" t="n">
        <x:v>3539.16</x:v>
      </x:c>
      <x:c r="J320" s="45" t="n">
        <x:v>3658.01</x:v>
      </x:c>
      <x:c r="K320" s="20" t="str">
        <x:v>Novo</x:v>
      </x:c>
      <x:c r="L320" s="20" t="str">
        <x:v>Em aberto</x:v>
      </x:c>
      <x:c r="M320" s="20" t="str">
        <x:v>e2ea15d7-69da-4afb-877c-6a5312aed28e</x:v>
      </x:c>
      <x:c r="N320" s="46" t="str"/>
    </x:row>
    <x:row r="321">
      <x:c r="A321" s="47" t="str">
        <x:v>Subtotal</x:v>
      </x:c>
      <x:c r="B321" s="47" t="str"/>
      <x:c r="C321" s="47" t="str"/>
      <x:c r="D321" s="47" t="str"/>
      <x:c r="E321" s="47" t="str"/>
      <x:c r="F321" s="47" t="str"/>
      <x:c r="G321" s="47" t="str"/>
      <x:c r="H321" s="47" t="str"/>
      <x:c r="I321" s="47" t="str"/>
      <x:c r="J321" s="48" t="n">
        <x:v>7485.04</x:v>
      </x:c>
      <x:c r="K321" s="47" t="str">
        <x:v>2 novas</x:v>
      </x:c>
      <x:c r="L321" s="47" t="str">
        <x:v>0 ativas</x:v>
      </x:c>
      <x:c r="M321" s="47" t="str"/>
      <x:c r="N321" s="47" t="str"/>
    </x:row>
    <x:row r="323">
      <x:c r="A323" s="26" t="str">
        <x:v>CONDOMÍNIO RESIDENCIAL METROCASA MORUMBI</x:v>
      </x:c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</x:row>
    <x:row r="324">
      <x:c r="A324" s="28" t="str">
        <x:v>CNPJ</x:v>
      </x:c>
      <x:c r="B324" s="28" t="str">
        <x:v>53.344.499/0001-10</x:v>
      </x:c>
      <x:c r="C324" s="28"/>
      <x:c r="D324" s="28" t="str">
        <x:v>Dia de vencimento</x:v>
      </x:c>
      <x:c r="E324" s="28" t="n">
        <x:v>10</x:v>
      </x:c>
      <x:c r="F324" s="28" t="str">
        <x:v>Régua</x:v>
      </x:c>
      <x:c r="G324" s="28" t="str">
        <x:v>D+30</x:v>
      </x:c>
      <x:c r="H324" s="28"/>
      <x:c r="I324" s="28"/>
      <x:c r="J324" s="28"/>
      <x:c r="K324" s="28"/>
      <x:c r="L324" s="28"/>
      <x:c r="M324" s="28"/>
      <x:c r="N324" s="28"/>
    </x:row>
    <x:row r="325">
      <x:c r="A325" s="9" t="str">
        <x:v>Unidade</x:v>
      </x:c>
      <x:c r="B325" s="9" t="str">
        <x:v>Bloco</x:v>
      </x:c>
      <x:c r="C325" s="9" t="str">
        <x:v>Responsável</x:v>
      </x:c>
      <x:c r="D325" s="9" t="str">
        <x:v>Documento</x:v>
      </x:c>
      <x:c r="E325" s="9" t="str">
        <x:v>Telefone</x:v>
      </x:c>
      <x:c r="F325" s="9" t="str">
        <x:v>E-mail</x:v>
      </x:c>
      <x:c r="G325" s="9" t="str">
        <x:v>Vencimento</x:v>
      </x:c>
      <x:c r="H325" s="9" t="str">
        <x:v>Competência</x:v>
      </x:c>
      <x:c r="I325" s="9" t="str">
        <x:v>Valor original</x:v>
      </x:c>
      <x:c r="J325" s="9" t="str">
        <x:v>Valor atualizado</x:v>
      </x:c>
      <x:c r="K325" s="9" t="str">
        <x:v>Status operacional</x:v>
      </x:c>
      <x:c r="L325" s="9" t="str">
        <x:v>Status financeiro</x:v>
      </x:c>
      <x:c r="M325" s="9" t="str">
        <x:v>ID cobrança</x:v>
      </x:c>
      <x:c r="N325" s="9" t="str">
        <x:v>Observação</x:v>
      </x:c>
    </x:row>
    <x:row r="326">
      <x:c r="A326" s="31" t="str">
        <x:f>"000002"</x:f>
        <x:v>000002</x:v>
      </x:c>
      <x:c r="B326" s="32" t="str">
        <x:f>"0"</x:f>
        <x:v>0</x:v>
      </x:c>
      <x:c r="C326" s="32" t="str">
        <x:v>LETICIA HIGINO OLIVEIRA SILVA</x:v>
      </x:c>
      <x:c r="D326" s="32" t="str">
        <x:f>"24915312836"</x:f>
        <x:v>24915312836</x:v>
      </x:c>
      <x:c r="E326" s="32" t="str">
        <x:f>"11967636829"</x:f>
        <x:v>11967636829</x:v>
      </x:c>
      <x:c r="F326" s="32" t="str">
        <x:v>higinioleticia985@gmail.com</x:v>
      </x:c>
      <x:c r="G326" s="33" t="n">
        <x:v>46091</x:v>
      </x:c>
      <x:c r="H326" s="34" t="str">
        <x:v>03/2026</x:v>
      </x:c>
      <x:c r="I326" s="35" t="n">
        <x:v>553.36</x:v>
      </x:c>
      <x:c r="J326" s="35" t="n">
        <x:v>602.13</x:v>
      </x:c>
      <x:c r="K326" s="34" t="str">
        <x:v>Novo</x:v>
      </x:c>
      <x:c r="L326" s="34" t="str">
        <x:v>Em aberto</x:v>
      </x:c>
      <x:c r="M326" s="34" t="str">
        <x:v>0368cabb-7b96-4b00-8d56-f8249acfcfde</x:v>
      </x:c>
      <x:c r="N326" s="36" t="str"/>
    </x:row>
    <x:row r="327">
      <x:c r="A327" s="37" t="str">
        <x:f>"000002"</x:f>
        <x:v>000002</x:v>
      </x:c>
      <x:c r="B327" s="38" t="str">
        <x:f>"0"</x:f>
        <x:v>0</x:v>
      </x:c>
      <x:c r="C327" s="38" t="str">
        <x:v>LETICIA HIGINO OLIVEIRA SILVA</x:v>
      </x:c>
      <x:c r="D327" s="38" t="str">
        <x:f>"24915312836"</x:f>
        <x:v>24915312836</x:v>
      </x:c>
      <x:c r="E327" s="38" t="str">
        <x:f>"11967636829"</x:f>
        <x:v>11967636829</x:v>
      </x:c>
      <x:c r="F327" s="38" t="str">
        <x:v>higinioleticia985@gmail.com</x:v>
      </x:c>
      <x:c r="G327" s="39" t="n">
        <x:v>46122</x:v>
      </x:c>
      <x:c r="H327" s="16" t="str">
        <x:v>04/2026</x:v>
      </x:c>
      <x:c r="I327" s="40" t="n">
        <x:v>513.94</x:v>
      </x:c>
      <x:c r="J327" s="40" t="n">
        <x:v>551.44</x:v>
      </x:c>
      <x:c r="K327" s="16" t="str">
        <x:v>Novo</x:v>
      </x:c>
      <x:c r="L327" s="16" t="str">
        <x:v>Em aberto</x:v>
      </x:c>
      <x:c r="M327" s="16" t="str">
        <x:v>6f62b080-1c1b-4a8a-b2f6-8a132b9f001d</x:v>
      </x:c>
      <x:c r="N327" s="41" t="str"/>
    </x:row>
    <x:row r="328">
      <x:c r="A328" s="37" t="str">
        <x:f>"000002"</x:f>
        <x:v>000002</x:v>
      </x:c>
      <x:c r="B328" s="38" t="str">
        <x:f>"0"</x:f>
        <x:v>0</x:v>
      </x:c>
      <x:c r="C328" s="38" t="str">
        <x:v>LETICIA HIGINO OLIVEIRA SILVA</x:v>
      </x:c>
      <x:c r="D328" s="38" t="str">
        <x:f>"24915312836"</x:f>
        <x:v>24915312836</x:v>
      </x:c>
      <x:c r="E328" s="38" t="str">
        <x:f>"11967636829"</x:f>
        <x:v>11967636829</x:v>
      </x:c>
      <x:c r="F328" s="38" t="str">
        <x:v>higinioleticia985@gmail.com</x:v>
      </x:c>
      <x:c r="G328" s="39" t="n">
        <x:v>46152</x:v>
      </x:c>
      <x:c r="H328" s="16" t="str">
        <x:v>05/2026</x:v>
      </x:c>
      <x:c r="I328" s="40" t="n">
        <x:v>534.49</x:v>
      </x:c>
      <x:c r="J328" s="40" t="n">
        <x:v>562.94</x:v>
      </x:c>
      <x:c r="K328" s="16" t="str">
        <x:v>Novo</x:v>
      </x:c>
      <x:c r="L328" s="16" t="str">
        <x:v>Em aberto</x:v>
      </x:c>
      <x:c r="M328" s="16" t="str">
        <x:v>6860be88-5b55-496c-bc09-5ba278c438ca</x:v>
      </x:c>
      <x:c r="N328" s="41" t="str"/>
    </x:row>
    <x:row r="329">
      <x:c r="A329" s="37" t="str">
        <x:f>"000002"</x:f>
        <x:v>000002</x:v>
      </x:c>
      <x:c r="B329" s="38" t="str">
        <x:f>"0"</x:f>
        <x:v>0</x:v>
      </x:c>
      <x:c r="C329" s="38" t="str">
        <x:v>LETICIA HIGINO OLIVEIRA SILVA</x:v>
      </x:c>
      <x:c r="D329" s="38" t="str">
        <x:f>"24915312836"</x:f>
        <x:v>24915312836</x:v>
      </x:c>
      <x:c r="E329" s="38" t="str">
        <x:f>"11967636829"</x:f>
        <x:v>11967636829</x:v>
      </x:c>
      <x:c r="F329" s="38" t="str">
        <x:v>higinioleticia985@gmail.com</x:v>
      </x:c>
      <x:c r="G329" s="39" t="n">
        <x:v>46183</x:v>
      </x:c>
      <x:c r="H329" s="16" t="str">
        <x:v>06/2026</x:v>
      </x:c>
      <x:c r="I329" s="40" t="n">
        <x:v>547.33</x:v>
      </x:c>
      <x:c r="J329" s="40" t="n">
        <x:v>567.3</x:v>
      </x:c>
      <x:c r="K329" s="16" t="str">
        <x:v>Novo</x:v>
      </x:c>
      <x:c r="L329" s="16" t="str">
        <x:v>Em aberto</x:v>
      </x:c>
      <x:c r="M329" s="16" t="str">
        <x:v>43635472-8252-45f5-9e9a-245766d12461</x:v>
      </x:c>
      <x:c r="N329" s="41" t="str"/>
    </x:row>
    <x:row r="330">
      <x:c r="A330" s="37" t="str">
        <x:f>"000003"</x:f>
        <x:v>000003</x:v>
      </x:c>
      <x:c r="B330" s="38" t="str">
        <x:f>"0"</x:f>
        <x:v>0</x:v>
      </x:c>
      <x:c r="C330" s="38" t="str">
        <x:v>LEO HENRIQUE ALVES FELIPE</x:v>
      </x:c>
      <x:c r="D330" s="38" t="str">
        <x:f>"36285287805"</x:f>
        <x:v>36285287805</x:v>
      </x:c>
      <x:c r="E330" s="38" t="str">
        <x:f>"11977458008"</x:f>
        <x:v>11977458008</x:v>
      </x:c>
      <x:c r="F330" s="38" t="str">
        <x:v>silvaestrelarodrigo@gmail.com</x:v>
      </x:c>
      <x:c r="G330" s="39" t="n">
        <x:v>46032</x:v>
      </x:c>
      <x:c r="H330" s="16" t="str">
        <x:v>01/2026</x:v>
      </x:c>
      <x:c r="I330" s="40" t="n">
        <x:v>0.01</x:v>
      </x:c>
      <x:c r="J330" s="40" t="n">
        <x:v>0.01</x:v>
      </x:c>
      <x:c r="K330" s="16" t="str">
        <x:v>Novo</x:v>
      </x:c>
      <x:c r="L330" s="16" t="str">
        <x:v>Em aberto</x:v>
      </x:c>
      <x:c r="M330" s="16" t="str">
        <x:v>f834ba04-26f4-4c28-9079-b36e78a87015</x:v>
      </x:c>
      <x:c r="N330" s="41" t="str"/>
    </x:row>
    <x:row r="331">
      <x:c r="A331" s="37" t="str">
        <x:f>"000003"</x:f>
        <x:v>000003</x:v>
      </x:c>
      <x:c r="B331" s="38" t="str">
        <x:f>"0"</x:f>
        <x:v>0</x:v>
      </x:c>
      <x:c r="C331" s="38" t="str">
        <x:v>LEO HENRIQUE ALVES FELIPE</x:v>
      </x:c>
      <x:c r="D331" s="38" t="str">
        <x:f>"36285287805"</x:f>
        <x:v>36285287805</x:v>
      </x:c>
      <x:c r="E331" s="38" t="str">
        <x:f>"11977458008"</x:f>
        <x:v>11977458008</x:v>
      </x:c>
      <x:c r="F331" s="38" t="str">
        <x:v>silvaestrelarodrigo@gmail.com</x:v>
      </x:c>
      <x:c r="G331" s="39" t="n">
        <x:v>46063</x:v>
      </x:c>
      <x:c r="H331" s="16" t="str">
        <x:v>02/2026</x:v>
      </x:c>
      <x:c r="I331" s="40" t="n">
        <x:v>0.01</x:v>
      </x:c>
      <x:c r="J331" s="40" t="n">
        <x:v>0.01</x:v>
      </x:c>
      <x:c r="K331" s="16" t="str">
        <x:v>Novo</x:v>
      </x:c>
      <x:c r="L331" s="16" t="str">
        <x:v>Em aberto</x:v>
      </x:c>
      <x:c r="M331" s="16" t="str">
        <x:v>5f78c20e-20a7-4467-aab3-3de9317f8ab9</x:v>
      </x:c>
      <x:c r="N331" s="41" t="str"/>
    </x:row>
    <x:row r="332">
      <x:c r="A332" s="37" t="str">
        <x:f>"000003"</x:f>
        <x:v>000003</x:v>
      </x:c>
      <x:c r="B332" s="38" t="str">
        <x:f>"0"</x:f>
        <x:v>0</x:v>
      </x:c>
      <x:c r="C332" s="38" t="str">
        <x:v>LEO HENRIQUE ALVES FELIPE</x:v>
      </x:c>
      <x:c r="D332" s="38" t="str">
        <x:f>"36285287805"</x:f>
        <x:v>36285287805</x:v>
      </x:c>
      <x:c r="E332" s="38" t="str">
        <x:f>"11977458008"</x:f>
        <x:v>11977458008</x:v>
      </x:c>
      <x:c r="F332" s="38" t="str">
        <x:v>silvaestrelarodrigo@gmail.com</x:v>
      </x:c>
      <x:c r="G332" s="39" t="n">
        <x:v>46091</x:v>
      </x:c>
      <x:c r="H332" s="16" t="str">
        <x:v>03/2026</x:v>
      </x:c>
      <x:c r="I332" s="40" t="n">
        <x:v>0.01</x:v>
      </x:c>
      <x:c r="J332" s="40" t="n">
        <x:v>0.01</x:v>
      </x:c>
      <x:c r="K332" s="16" t="str">
        <x:v>Novo</x:v>
      </x:c>
      <x:c r="L332" s="16" t="str">
        <x:v>Em aberto</x:v>
      </x:c>
      <x:c r="M332" s="16" t="str">
        <x:v>fe91ff55-bc12-4ebc-a55f-a835e6145c96</x:v>
      </x:c>
      <x:c r="N332" s="41" t="str"/>
    </x:row>
    <x:row r="333">
      <x:c r="A333" s="37" t="str">
        <x:f>"000003"</x:f>
        <x:v>000003</x:v>
      </x:c>
      <x:c r="B333" s="38" t="str">
        <x:f>"0"</x:f>
        <x:v>0</x:v>
      </x:c>
      <x:c r="C333" s="38" t="str">
        <x:v>LEO HENRIQUE ALVES FELIPE</x:v>
      </x:c>
      <x:c r="D333" s="38" t="str">
        <x:f>"36285287805"</x:f>
        <x:v>36285287805</x:v>
      </x:c>
      <x:c r="E333" s="38" t="str">
        <x:f>"11977458008"</x:f>
        <x:v>11977458008</x:v>
      </x:c>
      <x:c r="F333" s="38" t="str">
        <x:v>silvaestrelarodrigo@gmail.com</x:v>
      </x:c>
      <x:c r="G333" s="39" t="n">
        <x:v>46152</x:v>
      </x:c>
      <x:c r="H333" s="16" t="str">
        <x:v>05/2026</x:v>
      </x:c>
      <x:c r="I333" s="40" t="n">
        <x:v>0.01</x:v>
      </x:c>
      <x:c r="J333" s="40" t="n">
        <x:v>0.01</x:v>
      </x:c>
      <x:c r="K333" s="16" t="str">
        <x:v>Novo</x:v>
      </x:c>
      <x:c r="L333" s="16" t="str">
        <x:v>Em aberto</x:v>
      </x:c>
      <x:c r="M333" s="16" t="str">
        <x:v>546c5682-c910-464f-8048-fa4583664951</x:v>
      </x:c>
      <x:c r="N333" s="41" t="str"/>
    </x:row>
    <x:row r="334">
      <x:c r="A334" s="37" t="str">
        <x:f>"000003"</x:f>
        <x:v>000003</x:v>
      </x:c>
      <x:c r="B334" s="38" t="str">
        <x:f>"0"</x:f>
        <x:v>0</x:v>
      </x:c>
      <x:c r="C334" s="38" t="str">
        <x:v>LEO HENRIQUE ALVES FELIPE</x:v>
      </x:c>
      <x:c r="D334" s="38" t="str">
        <x:f>"36285287805"</x:f>
        <x:v>36285287805</x:v>
      </x:c>
      <x:c r="E334" s="38" t="str">
        <x:f>"11977458008"</x:f>
        <x:v>11977458008</x:v>
      </x:c>
      <x:c r="F334" s="38" t="str">
        <x:v>silvaestrelarodrigo@gmail.com</x:v>
      </x:c>
      <x:c r="G334" s="39" t="n">
        <x:v>46183</x:v>
      </x:c>
      <x:c r="H334" s="16" t="str">
        <x:v>06/2026</x:v>
      </x:c>
      <x:c r="I334" s="40" t="n">
        <x:v>0.01</x:v>
      </x:c>
      <x:c r="J334" s="40" t="n">
        <x:v>0.01</x:v>
      </x:c>
      <x:c r="K334" s="16" t="str">
        <x:v>Novo</x:v>
      </x:c>
      <x:c r="L334" s="16" t="str">
        <x:v>Em aberto</x:v>
      </x:c>
      <x:c r="M334" s="16" t="str">
        <x:v>f6ff3279-660b-43c9-a150-b755ac67fb14</x:v>
      </x:c>
      <x:c r="N334" s="41" t="str"/>
    </x:row>
    <x:row r="335">
      <x:c r="A335" s="37" t="str">
        <x:f>"000103"</x:f>
        <x:v>000103</x:v>
      </x:c>
      <x:c r="B335" s="38" t="str">
        <x:f>"0"</x:f>
        <x:v>0</x:v>
      </x:c>
      <x:c r="C335" s="38" t="str">
        <x:v>RUDA VINICIUS DOS SANTOS ALBERTI CPF: 388.368.328-06 - Locatário(a): BRAZILIAN CORNER SERVIÇOS</x:v>
      </x:c>
      <x:c r="D335" s="38" t="str">
        <x:f>"38836832806"</x:f>
        <x:v>38836832806</x:v>
      </x:c>
      <x:c r="E335" s="38" t="str">
        <x:f>"11991045305"</x:f>
        <x:v>11991045305</x:v>
      </x:c>
      <x:c r="F335" s="38" t="str"/>
      <x:c r="G335" s="39" t="n">
        <x:v>46122</x:v>
      </x:c>
      <x:c r="H335" s="16" t="str">
        <x:v>04/2026</x:v>
      </x:c>
      <x:c r="I335" s="40" t="n">
        <x:v>711.98</x:v>
      </x:c>
      <x:c r="J335" s="40" t="n">
        <x:v>763.94</x:v>
      </x:c>
      <x:c r="K335" s="16" t="str">
        <x:v>Novo</x:v>
      </x:c>
      <x:c r="L335" s="16" t="str">
        <x:v>Em aberto</x:v>
      </x:c>
      <x:c r="M335" s="16" t="str">
        <x:v>a46ab297-5b25-449a-8f3b-2f90446c0997</x:v>
      </x:c>
      <x:c r="N335" s="41" t="str"/>
    </x:row>
    <x:row r="336">
      <x:c r="A336" s="37" t="str">
        <x:f>"000103"</x:f>
        <x:v>000103</x:v>
      </x:c>
      <x:c r="B336" s="38" t="str">
        <x:f>"0"</x:f>
        <x:v>0</x:v>
      </x:c>
      <x:c r="C336" s="38" t="str">
        <x:v>RUDA VINICIUS DOS SANTOS ALBERTI CPF: 388.368.328-06 - Locatário(a): BRAZILIAN CORNER SERVIÇOS</x:v>
      </x:c>
      <x:c r="D336" s="38" t="str">
        <x:f>"38836832806"</x:f>
        <x:v>38836832806</x:v>
      </x:c>
      <x:c r="E336" s="38" t="str">
        <x:f>"11991045305"</x:f>
        <x:v>11991045305</x:v>
      </x:c>
      <x:c r="F336" s="38" t="str"/>
      <x:c r="G336" s="39" t="n">
        <x:v>46183</x:v>
      </x:c>
      <x:c r="H336" s="16" t="str">
        <x:v>06/2026</x:v>
      </x:c>
      <x:c r="I336" s="40" t="n">
        <x:v>4271.88</x:v>
      </x:c>
      <x:c r="J336" s="40" t="n">
        <x:v>4427.68</x:v>
      </x:c>
      <x:c r="K336" s="16" t="str">
        <x:v>Novo</x:v>
      </x:c>
      <x:c r="L336" s="16" t="str">
        <x:v>Em aberto</x:v>
      </x:c>
      <x:c r="M336" s="16" t="str">
        <x:v>bb239b4d-a9f5-407f-8985-700ddaae432e</x:v>
      </x:c>
      <x:c r="N336" s="41" t="str"/>
    </x:row>
    <x:row r="337">
      <x:c r="A337" s="37" t="str">
        <x:f>"000104"</x:f>
        <x:v>000104</x:v>
      </x:c>
      <x:c r="B337" s="38" t="str">
        <x:f>"0"</x:f>
        <x:v>0</x:v>
      </x:c>
      <x:c r="C337" s="38" t="str">
        <x:v>LEONARDO GUILHERME B DA SILVA</x:v>
      </x:c>
      <x:c r="D337" s="38" t="str">
        <x:f>"47573526890"</x:f>
        <x:v>47573526890</x:v>
      </x:c>
      <x:c r="E337" s="38" t="str">
        <x:f>"11947293022"</x:f>
        <x:v>11947293022</x:v>
      </x:c>
      <x:c r="F337" s="38" t="str">
        <x:v>leonardo.gbs2018@icloud.com</x:v>
      </x:c>
      <x:c r="G337" s="39" t="n">
        <x:v>46032</x:v>
      </x:c>
      <x:c r="H337" s="16" t="str">
        <x:v>01/2026</x:v>
      </x:c>
      <x:c r="I337" s="40" t="n">
        <x:v>0.01</x:v>
      </x:c>
      <x:c r="J337" s="40" t="n">
        <x:v>0.01</x:v>
      </x:c>
      <x:c r="K337" s="16" t="str">
        <x:v>Novo</x:v>
      </x:c>
      <x:c r="L337" s="16" t="str">
        <x:v>Em aberto</x:v>
      </x:c>
      <x:c r="M337" s="16" t="str">
        <x:v>f6e846de-5c7e-4552-b503-25b6bb480dac</x:v>
      </x:c>
      <x:c r="N337" s="41" t="str"/>
    </x:row>
    <x:row r="338">
      <x:c r="A338" s="37" t="str">
        <x:f>"000104"</x:f>
        <x:v>000104</x:v>
      </x:c>
      <x:c r="B338" s="38" t="str">
        <x:f>"0"</x:f>
        <x:v>0</x:v>
      </x:c>
      <x:c r="C338" s="38" t="str">
        <x:v>LEONARDO GUILHERME B DA SILVA</x:v>
      </x:c>
      <x:c r="D338" s="38" t="str">
        <x:f>"47573526890"</x:f>
        <x:v>47573526890</x:v>
      </x:c>
      <x:c r="E338" s="38" t="str">
        <x:f>"11947293022"</x:f>
        <x:v>11947293022</x:v>
      </x:c>
      <x:c r="F338" s="38" t="str">
        <x:v>leonardo.gbs2018@icloud.com</x:v>
      </x:c>
      <x:c r="G338" s="39" t="n">
        <x:v>46063</x:v>
      </x:c>
      <x:c r="H338" s="16" t="str">
        <x:v>02/2026</x:v>
      </x:c>
      <x:c r="I338" s="40" t="n">
        <x:v>0.01</x:v>
      </x:c>
      <x:c r="J338" s="40" t="n">
        <x:v>0.01</x:v>
      </x:c>
      <x:c r="K338" s="16" t="str">
        <x:v>Novo</x:v>
      </x:c>
      <x:c r="L338" s="16" t="str">
        <x:v>Em aberto</x:v>
      </x:c>
      <x:c r="M338" s="16" t="str">
        <x:v>9ef9e16c-8d77-4c16-be07-f614a9c43cf4</x:v>
      </x:c>
      <x:c r="N338" s="41" t="str"/>
    </x:row>
    <x:row r="339">
      <x:c r="A339" s="37" t="str">
        <x:f>"000104"</x:f>
        <x:v>000104</x:v>
      </x:c>
      <x:c r="B339" s="38" t="str">
        <x:f>"0"</x:f>
        <x:v>0</x:v>
      </x:c>
      <x:c r="C339" s="38" t="str">
        <x:v>LEONARDO GUILHERME B DA SILVA</x:v>
      </x:c>
      <x:c r="D339" s="38" t="str">
        <x:f>"47573526890"</x:f>
        <x:v>47573526890</x:v>
      </x:c>
      <x:c r="E339" s="38" t="str">
        <x:f>"11947293022"</x:f>
        <x:v>11947293022</x:v>
      </x:c>
      <x:c r="F339" s="38" t="str">
        <x:v>leonardo.gbs2018@icloud.com</x:v>
      </x:c>
      <x:c r="G339" s="39" t="n">
        <x:v>46091</x:v>
      </x:c>
      <x:c r="H339" s="16" t="str">
        <x:v>03/2026</x:v>
      </x:c>
      <x:c r="I339" s="40" t="n">
        <x:v>0.01</x:v>
      </x:c>
      <x:c r="J339" s="40" t="n">
        <x:v>0.01</x:v>
      </x:c>
      <x:c r="K339" s="16" t="str">
        <x:v>Novo</x:v>
      </x:c>
      <x:c r="L339" s="16" t="str">
        <x:v>Em aberto</x:v>
      </x:c>
      <x:c r="M339" s="16" t="str">
        <x:v>dbb8bdf1-d4b0-4ac4-9f05-4e91cdf3d1e4</x:v>
      </x:c>
      <x:c r="N339" s="41" t="str"/>
    </x:row>
    <x:row r="340">
      <x:c r="A340" s="37" t="str">
        <x:f>"000104"</x:f>
        <x:v>000104</x:v>
      </x:c>
      <x:c r="B340" s="38" t="str">
        <x:f>"0"</x:f>
        <x:v>0</x:v>
      </x:c>
      <x:c r="C340" s="38" t="str">
        <x:v>LEONARDO GUILHERME B DA SILVA</x:v>
      </x:c>
      <x:c r="D340" s="38" t="str">
        <x:f>"47573526890"</x:f>
        <x:v>47573526890</x:v>
      </x:c>
      <x:c r="E340" s="38" t="str">
        <x:f>"11947293022"</x:f>
        <x:v>11947293022</x:v>
      </x:c>
      <x:c r="F340" s="38" t="str">
        <x:v>leonardo.gbs2018@icloud.com</x:v>
      </x:c>
      <x:c r="G340" s="39" t="n">
        <x:v>46152</x:v>
      </x:c>
      <x:c r="H340" s="16" t="str">
        <x:v>05/2026</x:v>
      </x:c>
      <x:c r="I340" s="40" t="n">
        <x:v>0.01</x:v>
      </x:c>
      <x:c r="J340" s="40" t="n">
        <x:v>0.01</x:v>
      </x:c>
      <x:c r="K340" s="16" t="str">
        <x:v>Novo</x:v>
      </x:c>
      <x:c r="L340" s="16" t="str">
        <x:v>Em aberto</x:v>
      </x:c>
      <x:c r="M340" s="16" t="str">
        <x:v>3090ea57-4629-4079-a0fe-16603c5b2548</x:v>
      </x:c>
      <x:c r="N340" s="41" t="str"/>
    </x:row>
    <x:row r="341">
      <x:c r="A341" s="37" t="str">
        <x:f>"000104"</x:f>
        <x:v>000104</x:v>
      </x:c>
      <x:c r="B341" s="38" t="str">
        <x:f>"0"</x:f>
        <x:v>0</x:v>
      </x:c>
      <x:c r="C341" s="38" t="str">
        <x:v>LEONARDO GUILHERME B DA SILVA</x:v>
      </x:c>
      <x:c r="D341" s="38" t="str">
        <x:f>"47573526890"</x:f>
        <x:v>47573526890</x:v>
      </x:c>
      <x:c r="E341" s="38" t="str">
        <x:f>"11947293022"</x:f>
        <x:v>11947293022</x:v>
      </x:c>
      <x:c r="F341" s="38" t="str">
        <x:v>leonardo.gbs2018@icloud.com</x:v>
      </x:c>
      <x:c r="G341" s="39" t="n">
        <x:v>46183</x:v>
      </x:c>
      <x:c r="H341" s="16" t="str">
        <x:v>06/2026</x:v>
      </x:c>
      <x:c r="I341" s="40" t="n">
        <x:v>0.01</x:v>
      </x:c>
      <x:c r="J341" s="40" t="n">
        <x:v>0.01</x:v>
      </x:c>
      <x:c r="K341" s="16" t="str">
        <x:v>Novo</x:v>
      </x:c>
      <x:c r="L341" s="16" t="str">
        <x:v>Em aberto</x:v>
      </x:c>
      <x:c r="M341" s="16" t="str">
        <x:v>0a98a21a-cdf1-411e-9cc1-e66e8c39ac67</x:v>
      </x:c>
      <x:c r="N341" s="41" t="str"/>
    </x:row>
    <x:row r="342">
      <x:c r="A342" s="37" t="str">
        <x:f>"000113"</x:f>
        <x:v>000113</x:v>
      </x:c>
      <x:c r="B342" s="38" t="str">
        <x:f>"0"</x:f>
        <x:v>0</x:v>
      </x:c>
      <x:c r="C342" s="38" t="str">
        <x:v>JOYCE MIRYAM TONOLLI</x:v>
      </x:c>
      <x:c r="D342" s="38" t="str">
        <x:f>"39614531878"</x:f>
        <x:v>39614531878</x:v>
      </x:c>
      <x:c r="E342" s="38" t="str">
        <x:f>"11952246352"</x:f>
        <x:v>11952246352</x:v>
      </x:c>
      <x:c r="F342" s="38" t="str"/>
      <x:c r="G342" s="39" t="n">
        <x:v>46032</x:v>
      </x:c>
      <x:c r="H342" s="16" t="str">
        <x:v>01/2026</x:v>
      </x:c>
      <x:c r="I342" s="40" t="n">
        <x:v>0.01</x:v>
      </x:c>
      <x:c r="J342" s="40" t="n">
        <x:v>0.01</x:v>
      </x:c>
      <x:c r="K342" s="16" t="str">
        <x:v>Novo</x:v>
      </x:c>
      <x:c r="L342" s="16" t="str">
        <x:v>Em aberto</x:v>
      </x:c>
      <x:c r="M342" s="16" t="str">
        <x:v>e69acd20-bb21-4378-9293-20ddabd22157</x:v>
      </x:c>
      <x:c r="N342" s="41" t="str"/>
    </x:row>
    <x:row r="343">
      <x:c r="A343" s="37" t="str">
        <x:f>"000113"</x:f>
        <x:v>000113</x:v>
      </x:c>
      <x:c r="B343" s="38" t="str">
        <x:f>"0"</x:f>
        <x:v>0</x:v>
      </x:c>
      <x:c r="C343" s="38" t="str">
        <x:v>JOYCE MIRYAM TONOLLI</x:v>
      </x:c>
      <x:c r="D343" s="38" t="str">
        <x:f>"39614531878"</x:f>
        <x:v>39614531878</x:v>
      </x:c>
      <x:c r="E343" s="38" t="str">
        <x:f>"11952246352"</x:f>
        <x:v>11952246352</x:v>
      </x:c>
      <x:c r="F343" s="38" t="str"/>
      <x:c r="G343" s="39" t="n">
        <x:v>46063</x:v>
      </x:c>
      <x:c r="H343" s="16" t="str">
        <x:v>02/2026</x:v>
      </x:c>
      <x:c r="I343" s="40" t="n">
        <x:v>0.01</x:v>
      </x:c>
      <x:c r="J343" s="40" t="n">
        <x:v>0.01</x:v>
      </x:c>
      <x:c r="K343" s="16" t="str">
        <x:v>Novo</x:v>
      </x:c>
      <x:c r="L343" s="16" t="str">
        <x:v>Em aberto</x:v>
      </x:c>
      <x:c r="M343" s="16" t="str">
        <x:v>3db2a890-dcd2-49fd-a5c4-89e4dfccb19d</x:v>
      </x:c>
      <x:c r="N343" s="41" t="str"/>
    </x:row>
    <x:row r="344">
      <x:c r="A344" s="37" t="str">
        <x:f>"000113"</x:f>
        <x:v>000113</x:v>
      </x:c>
      <x:c r="B344" s="38" t="str">
        <x:f>"0"</x:f>
        <x:v>0</x:v>
      </x:c>
      <x:c r="C344" s="38" t="str">
        <x:v>JOYCE MIRYAM TONOLLI</x:v>
      </x:c>
      <x:c r="D344" s="38" t="str">
        <x:f>"39614531878"</x:f>
        <x:v>39614531878</x:v>
      </x:c>
      <x:c r="E344" s="38" t="str">
        <x:f>"11952246352"</x:f>
        <x:v>11952246352</x:v>
      </x:c>
      <x:c r="F344" s="38" t="str"/>
      <x:c r="G344" s="39" t="n">
        <x:v>46152</x:v>
      </x:c>
      <x:c r="H344" s="16" t="str">
        <x:v>05/2026</x:v>
      </x:c>
      <x:c r="I344" s="40" t="n">
        <x:v>0.01</x:v>
      </x:c>
      <x:c r="J344" s="40" t="n">
        <x:v>0.01</x:v>
      </x:c>
      <x:c r="K344" s="16" t="str">
        <x:v>Novo</x:v>
      </x:c>
      <x:c r="L344" s="16" t="str">
        <x:v>Em aberto</x:v>
      </x:c>
      <x:c r="M344" s="16" t="str">
        <x:v>61b63d32-7a4d-4c2b-84cc-17b7808feca9</x:v>
      </x:c>
      <x:c r="N344" s="41" t="str"/>
    </x:row>
    <x:row r="345">
      <x:c r="A345" s="37" t="str">
        <x:f>"000113"</x:f>
        <x:v>000113</x:v>
      </x:c>
      <x:c r="B345" s="38" t="str">
        <x:f>"0"</x:f>
        <x:v>0</x:v>
      </x:c>
      <x:c r="C345" s="38" t="str">
        <x:v>JOYCE MIRYAM TONOLLI</x:v>
      </x:c>
      <x:c r="D345" s="38" t="str">
        <x:f>"39614531878"</x:f>
        <x:v>39614531878</x:v>
      </x:c>
      <x:c r="E345" s="38" t="str">
        <x:f>"11952246352"</x:f>
        <x:v>11952246352</x:v>
      </x:c>
      <x:c r="F345" s="38" t="str"/>
      <x:c r="G345" s="39" t="n">
        <x:v>46183</x:v>
      </x:c>
      <x:c r="H345" s="16" t="str">
        <x:v>06/2026</x:v>
      </x:c>
      <x:c r="I345" s="40" t="n">
        <x:v>0.01</x:v>
      </x:c>
      <x:c r="J345" s="40" t="n">
        <x:v>0.01</x:v>
      </x:c>
      <x:c r="K345" s="16" t="str">
        <x:v>Novo</x:v>
      </x:c>
      <x:c r="L345" s="16" t="str">
        <x:v>Em aberto</x:v>
      </x:c>
      <x:c r="M345" s="16" t="str">
        <x:v>7f3b5107-6939-49c9-acde-f99c65277ed9</x:v>
      </x:c>
      <x:c r="N345" s="41" t="str"/>
    </x:row>
    <x:row r="346">
      <x:c r="A346" s="37" t="str">
        <x:f>"000201"</x:f>
        <x:v>000201</x:v>
      </x:c>
      <x:c r="B346" s="38" t="str">
        <x:f>"0"</x:f>
        <x:v>0</x:v>
      </x:c>
      <x:c r="C346" s="38" t="str">
        <x:v>ALEXANDRE TRABULSI NASSER</x:v>
      </x:c>
      <x:c r="D346" s="38" t="str">
        <x:f>"14648891805"</x:f>
        <x:v>14648891805</x:v>
      </x:c>
      <x:c r="E346" s="38" t="str">
        <x:f>"11954691663"</x:f>
        <x:v>11954691663</x:v>
      </x:c>
      <x:c r="F346" s="38" t="str">
        <x:v>alejnasseralej@gmail.com</x:v>
      </x:c>
      <x:c r="G346" s="39" t="n">
        <x:v>46032</x:v>
      </x:c>
      <x:c r="H346" s="16" t="str">
        <x:v>01/2026</x:v>
      </x:c>
      <x:c r="I346" s="40" t="n">
        <x:v>0.01</x:v>
      </x:c>
      <x:c r="J346" s="40" t="n">
        <x:v>0.01</x:v>
      </x:c>
      <x:c r="K346" s="16" t="str">
        <x:v>Novo</x:v>
      </x:c>
      <x:c r="L346" s="16" t="str">
        <x:v>Em aberto</x:v>
      </x:c>
      <x:c r="M346" s="16" t="str">
        <x:v>0a9af81b-e997-4c8f-925b-a588c6a12c4f</x:v>
      </x:c>
      <x:c r="N346" s="41" t="str"/>
    </x:row>
    <x:row r="347">
      <x:c r="A347" s="37" t="str">
        <x:f>"000201"</x:f>
        <x:v>000201</x:v>
      </x:c>
      <x:c r="B347" s="38" t="str">
        <x:f>"0"</x:f>
        <x:v>0</x:v>
      </x:c>
      <x:c r="C347" s="38" t="str">
        <x:v>ALEXANDRE TRABULSI NASSER</x:v>
      </x:c>
      <x:c r="D347" s="38" t="str">
        <x:f>"14648891805"</x:f>
        <x:v>14648891805</x:v>
      </x:c>
      <x:c r="E347" s="38" t="str">
        <x:f>"11954691663"</x:f>
        <x:v>11954691663</x:v>
      </x:c>
      <x:c r="F347" s="38" t="str">
        <x:v>alejnasseralej@gmail.com</x:v>
      </x:c>
      <x:c r="G347" s="39" t="n">
        <x:v>46063</x:v>
      </x:c>
      <x:c r="H347" s="16" t="str">
        <x:v>02/2026</x:v>
      </x:c>
      <x:c r="I347" s="40" t="n">
        <x:v>0.01</x:v>
      </x:c>
      <x:c r="J347" s="40" t="n">
        <x:v>0.01</x:v>
      </x:c>
      <x:c r="K347" s="16" t="str">
        <x:v>Novo</x:v>
      </x:c>
      <x:c r="L347" s="16" t="str">
        <x:v>Em aberto</x:v>
      </x:c>
      <x:c r="M347" s="16" t="str">
        <x:v>5bfb752f-820e-49cc-b9f5-658165dc61da</x:v>
      </x:c>
      <x:c r="N347" s="41" t="str"/>
    </x:row>
    <x:row r="348">
      <x:c r="A348" s="37" t="str">
        <x:f>"000201"</x:f>
        <x:v>000201</x:v>
      </x:c>
      <x:c r="B348" s="38" t="str">
        <x:f>"0"</x:f>
        <x:v>0</x:v>
      </x:c>
      <x:c r="C348" s="38" t="str">
        <x:v>ALEXANDRE TRABULSI NASSER</x:v>
      </x:c>
      <x:c r="D348" s="38" t="str">
        <x:f>"14648891805"</x:f>
        <x:v>14648891805</x:v>
      </x:c>
      <x:c r="E348" s="38" t="str">
        <x:f>"11954691663"</x:f>
        <x:v>11954691663</x:v>
      </x:c>
      <x:c r="F348" s="38" t="str">
        <x:v>alejnasseralej@gmail.com</x:v>
      </x:c>
      <x:c r="G348" s="39" t="n">
        <x:v>46091</x:v>
      </x:c>
      <x:c r="H348" s="16" t="str">
        <x:v>03/2026</x:v>
      </x:c>
      <x:c r="I348" s="40" t="n">
        <x:v>0.01</x:v>
      </x:c>
      <x:c r="J348" s="40" t="n">
        <x:v>0.01</x:v>
      </x:c>
      <x:c r="K348" s="16" t="str">
        <x:v>Novo</x:v>
      </x:c>
      <x:c r="L348" s="16" t="str">
        <x:v>Em aberto</x:v>
      </x:c>
      <x:c r="M348" s="16" t="str">
        <x:v>55a66675-1658-4209-8250-708335f3ae6e</x:v>
      </x:c>
      <x:c r="N348" s="41" t="str"/>
    </x:row>
    <x:row r="349">
      <x:c r="A349" s="37" t="str">
        <x:f>"000201"</x:f>
        <x:v>000201</x:v>
      </x:c>
      <x:c r="B349" s="38" t="str">
        <x:f>"0"</x:f>
        <x:v>0</x:v>
      </x:c>
      <x:c r="C349" s="38" t="str">
        <x:v>ALEXANDRE TRABULSI NASSER</x:v>
      </x:c>
      <x:c r="D349" s="38" t="str">
        <x:f>"14648891805"</x:f>
        <x:v>14648891805</x:v>
      </x:c>
      <x:c r="E349" s="38" t="str">
        <x:f>"11954691663"</x:f>
        <x:v>11954691663</x:v>
      </x:c>
      <x:c r="F349" s="38" t="str">
        <x:v>alejnasseralej@gmail.com</x:v>
      </x:c>
      <x:c r="G349" s="39" t="n">
        <x:v>46122</x:v>
      </x:c>
      <x:c r="H349" s="16" t="str">
        <x:v>04/2026</x:v>
      </x:c>
      <x:c r="I349" s="40" t="n">
        <x:v>0.01</x:v>
      </x:c>
      <x:c r="J349" s="40" t="n">
        <x:v>0.01</x:v>
      </x:c>
      <x:c r="K349" s="16" t="str">
        <x:v>Novo</x:v>
      </x:c>
      <x:c r="L349" s="16" t="str">
        <x:v>Em aberto</x:v>
      </x:c>
      <x:c r="M349" s="16" t="str">
        <x:v>28b99633-4ac6-49d7-afca-6a21ef909d63</x:v>
      </x:c>
      <x:c r="N349" s="41" t="str"/>
    </x:row>
    <x:row r="350">
      <x:c r="A350" s="37" t="str">
        <x:f>"000201"</x:f>
        <x:v>000201</x:v>
      </x:c>
      <x:c r="B350" s="38" t="str">
        <x:f>"0"</x:f>
        <x:v>0</x:v>
      </x:c>
      <x:c r="C350" s="38" t="str">
        <x:v>ALEXANDRE TRABULSI NASSER</x:v>
      </x:c>
      <x:c r="D350" s="38" t="str">
        <x:f>"14648891805"</x:f>
        <x:v>14648891805</x:v>
      </x:c>
      <x:c r="E350" s="38" t="str">
        <x:f>"11954691663"</x:f>
        <x:v>11954691663</x:v>
      </x:c>
      <x:c r="F350" s="38" t="str">
        <x:v>alejnasseralej@gmail.com</x:v>
      </x:c>
      <x:c r="G350" s="39" t="n">
        <x:v>46152</x:v>
      </x:c>
      <x:c r="H350" s="16" t="str">
        <x:v>05/2026</x:v>
      </x:c>
      <x:c r="I350" s="40" t="n">
        <x:v>0.01</x:v>
      </x:c>
      <x:c r="J350" s="40" t="n">
        <x:v>0.01</x:v>
      </x:c>
      <x:c r="K350" s="16" t="str">
        <x:v>Novo</x:v>
      </x:c>
      <x:c r="L350" s="16" t="str">
        <x:v>Em aberto</x:v>
      </x:c>
      <x:c r="M350" s="16" t="str">
        <x:v>d1335ce1-ac88-4b10-884e-3112b3b8e996</x:v>
      </x:c>
      <x:c r="N350" s="41" t="str"/>
    </x:row>
    <x:row r="351">
      <x:c r="A351" s="37" t="str">
        <x:f>"000201"</x:f>
        <x:v>000201</x:v>
      </x:c>
      <x:c r="B351" s="38" t="str">
        <x:f>"0"</x:f>
        <x:v>0</x:v>
      </x:c>
      <x:c r="C351" s="38" t="str">
        <x:v>ALEXANDRE TRABULSI NASSER</x:v>
      </x:c>
      <x:c r="D351" s="38" t="str">
        <x:f>"14648891805"</x:f>
        <x:v>14648891805</x:v>
      </x:c>
      <x:c r="E351" s="38" t="str">
        <x:f>"11954691663"</x:f>
        <x:v>11954691663</x:v>
      </x:c>
      <x:c r="F351" s="38" t="str">
        <x:v>alejnasseralej@gmail.com</x:v>
      </x:c>
      <x:c r="G351" s="39" t="n">
        <x:v>46183</x:v>
      </x:c>
      <x:c r="H351" s="16" t="str">
        <x:v>06/2026</x:v>
      </x:c>
      <x:c r="I351" s="40" t="n">
        <x:v>0.01</x:v>
      </x:c>
      <x:c r="J351" s="40" t="n">
        <x:v>0.01</x:v>
      </x:c>
      <x:c r="K351" s="16" t="str">
        <x:v>Novo</x:v>
      </x:c>
      <x:c r="L351" s="16" t="str">
        <x:v>Em aberto</x:v>
      </x:c>
      <x:c r="M351" s="16" t="str">
        <x:v>e5458c3c-8720-43e4-845f-cefba3adfbca</x:v>
      </x:c>
      <x:c r="N351" s="41" t="str"/>
    </x:row>
    <x:row r="352">
      <x:c r="A352" s="37" t="str">
        <x:f>"000202"</x:f>
        <x:v>000202</x:v>
      </x:c>
      <x:c r="B352" s="38" t="str">
        <x:f>"0"</x:f>
        <x:v>0</x:v>
      </x:c>
      <x:c r="C352" s="38" t="str">
        <x:v>EDENILSON LOPES GOMES</x:v>
      </x:c>
      <x:c r="D352" s="38" t="str">
        <x:f>"00845123505"</x:f>
        <x:v>00845123505</x:v>
      </x:c>
      <x:c r="E352" s="38" t="str">
        <x:f>"11981896573"</x:f>
        <x:v>11981896573</x:v>
      </x:c>
      <x:c r="F352" s="38" t="str">
        <x:v>aleo@gmail.com</x:v>
      </x:c>
      <x:c r="G352" s="39" t="n">
        <x:v>46032</x:v>
      </x:c>
      <x:c r="H352" s="16" t="str">
        <x:v>01/2026</x:v>
      </x:c>
      <x:c r="I352" s="40" t="n">
        <x:v>543.6</x:v>
      </x:c>
      <x:c r="J352" s="40" t="n">
        <x:v>609.15</x:v>
      </x:c>
      <x:c r="K352" s="16" t="str">
        <x:v>Novo</x:v>
      </x:c>
      <x:c r="L352" s="16" t="str">
        <x:v>Em aberto</x:v>
      </x:c>
      <x:c r="M352" s="16" t="str">
        <x:v>345101e3-92b2-4e02-aeca-4d4638cb71a7</x:v>
      </x:c>
      <x:c r="N352" s="41" t="str"/>
    </x:row>
    <x:row r="353">
      <x:c r="A353" s="37" t="str">
        <x:f>"000202"</x:f>
        <x:v>000202</x:v>
      </x:c>
      <x:c r="B353" s="38" t="str">
        <x:f>"0"</x:f>
        <x:v>0</x:v>
      </x:c>
      <x:c r="C353" s="38" t="str">
        <x:v>EDENILSON LOPES GOMES</x:v>
      </x:c>
      <x:c r="D353" s="38" t="str">
        <x:f>"00845123505"</x:f>
        <x:v>00845123505</x:v>
      </x:c>
      <x:c r="E353" s="38" t="str">
        <x:f>"11981896573"</x:f>
        <x:v>11981896573</x:v>
      </x:c>
      <x:c r="F353" s="38" t="str">
        <x:v>aleo@gmail.com</x:v>
      </x:c>
      <x:c r="G353" s="39" t="n">
        <x:v>46183</x:v>
      </x:c>
      <x:c r="H353" s="16" t="str">
        <x:v>06/2026</x:v>
      </x:c>
      <x:c r="I353" s="40" t="n">
        <x:v>543.03</x:v>
      </x:c>
      <x:c r="J353" s="40" t="n">
        <x:v>562.85</x:v>
      </x:c>
      <x:c r="K353" s="16" t="str">
        <x:v>Novo</x:v>
      </x:c>
      <x:c r="L353" s="16" t="str">
        <x:v>Em aberto</x:v>
      </x:c>
      <x:c r="M353" s="16" t="str">
        <x:v>f5b75944-a69a-46b1-bdb0-69792b00320e</x:v>
      </x:c>
      <x:c r="N353" s="41" t="str"/>
    </x:row>
    <x:row r="354">
      <x:c r="A354" s="37" t="str">
        <x:f>"000206"</x:f>
        <x:v>000206</x:v>
      </x:c>
      <x:c r="B354" s="38" t="str">
        <x:f>"0"</x:f>
        <x:v>0</x:v>
      </x:c>
      <x:c r="C354" s="38" t="str">
        <x:v>CAROLINA DE PAULA SILVA</x:v>
      </x:c>
      <x:c r="D354" s="38" t="str">
        <x:f>"32507954884"</x:f>
        <x:v>32507954884</x:v>
      </x:c>
      <x:c r="E354" s="38" t="str">
        <x:f>"11982611976"</x:f>
        <x:v>11982611976</x:v>
      </x:c>
      <x:c r="F354" s="38" t="str">
        <x:v>cps13@uahoo.com.br</x:v>
      </x:c>
      <x:c r="G354" s="39" t="n">
        <x:v>46152</x:v>
      </x:c>
      <x:c r="H354" s="16" t="str">
        <x:v>05/2026</x:v>
      </x:c>
      <x:c r="I354" s="40" t="n">
        <x:v>0.01</x:v>
      </x:c>
      <x:c r="J354" s="40" t="n">
        <x:v>0.01</x:v>
      </x:c>
      <x:c r="K354" s="16" t="str">
        <x:v>Novo</x:v>
      </x:c>
      <x:c r="L354" s="16" t="str">
        <x:v>Em aberto</x:v>
      </x:c>
      <x:c r="M354" s="16" t="str">
        <x:v>15a1a260-a384-4c14-8ae4-e72ec5b81017</x:v>
      </x:c>
      <x:c r="N354" s="41" t="str"/>
    </x:row>
    <x:row r="355">
      <x:c r="A355" s="37" t="str">
        <x:f>"000206"</x:f>
        <x:v>000206</x:v>
      </x:c>
      <x:c r="B355" s="38" t="str">
        <x:f>"0"</x:f>
        <x:v>0</x:v>
      </x:c>
      <x:c r="C355" s="38" t="str">
        <x:v>CAROLINA DE PAULA SILVA</x:v>
      </x:c>
      <x:c r="D355" s="38" t="str">
        <x:f>"32507954884"</x:f>
        <x:v>32507954884</x:v>
      </x:c>
      <x:c r="E355" s="38" t="str">
        <x:f>"11982611976"</x:f>
        <x:v>11982611976</x:v>
      </x:c>
      <x:c r="F355" s="38" t="str">
        <x:v>cps13@uahoo.com.br</x:v>
      </x:c>
      <x:c r="G355" s="39" t="n">
        <x:v>46183</x:v>
      </x:c>
      <x:c r="H355" s="16" t="str">
        <x:v>06/2026</x:v>
      </x:c>
      <x:c r="I355" s="40" t="n">
        <x:v>0.01</x:v>
      </x:c>
      <x:c r="J355" s="40" t="n">
        <x:v>0.01</x:v>
      </x:c>
      <x:c r="K355" s="16" t="str">
        <x:v>Novo</x:v>
      </x:c>
      <x:c r="L355" s="16" t="str">
        <x:v>Em aberto</x:v>
      </x:c>
      <x:c r="M355" s="16" t="str">
        <x:v>216f1acc-c2ab-417a-ac19-184cad61b791</x:v>
      </x:c>
      <x:c r="N355" s="41" t="str"/>
    </x:row>
    <x:row r="356">
      <x:c r="A356" s="37" t="str">
        <x:f>"000304"</x:f>
        <x:v>000304</x:v>
      </x:c>
      <x:c r="B356" s="38" t="str">
        <x:f>"0"</x:f>
        <x:v>0</x:v>
      </x:c>
      <x:c r="C356" s="38" t="str">
        <x:v>NATHALIA FERREIRA DE JESUS CPF: 406.711.718-36 - Locatário(a): ELDER YUKIO MOCHIZUK</x:v>
      </x:c>
      <x:c r="D356" s="38" t="str">
        <x:f>"40671171836"</x:f>
        <x:v>40671171836</x:v>
      </x:c>
      <x:c r="E356" s="38" t="str">
        <x:f>"11974275647"</x:f>
        <x:v>11974275647</x:v>
      </x:c>
      <x:c r="F356" s="38" t="str">
        <x:v>ru@gmail.com</x:v>
      </x:c>
      <x:c r="G356" s="39" t="n">
        <x:v>46032</x:v>
      </x:c>
      <x:c r="H356" s="16" t="str">
        <x:v>01/2026</x:v>
      </x:c>
      <x:c r="I356" s="40" t="n">
        <x:v>0.01</x:v>
      </x:c>
      <x:c r="J356" s="40" t="n">
        <x:v>0.01</x:v>
      </x:c>
      <x:c r="K356" s="16" t="str">
        <x:v>Novo</x:v>
      </x:c>
      <x:c r="L356" s="16" t="str">
        <x:v>Em aberto</x:v>
      </x:c>
      <x:c r="M356" s="16" t="str">
        <x:v>5922fdfc-0a75-4b28-9d55-b4f51c02fbc3</x:v>
      </x:c>
      <x:c r="N356" s="41" t="str"/>
    </x:row>
    <x:row r="357">
      <x:c r="A357" s="37" t="str">
        <x:f>"000304"</x:f>
        <x:v>000304</x:v>
      </x:c>
      <x:c r="B357" s="38" t="str">
        <x:f>"0"</x:f>
        <x:v>0</x:v>
      </x:c>
      <x:c r="C357" s="38" t="str">
        <x:v>NATHALIA FERREIRA DE JESUS CPF: 406.711.718-36 - Locatário(a): ELDER YUKIO MOCHIZUK</x:v>
      </x:c>
      <x:c r="D357" s="38" t="str">
        <x:f>"40671171836"</x:f>
        <x:v>40671171836</x:v>
      </x:c>
      <x:c r="E357" s="38" t="str">
        <x:f>"11974275647"</x:f>
        <x:v>11974275647</x:v>
      </x:c>
      <x:c r="F357" s="38" t="str">
        <x:v>ru@gmail.com</x:v>
      </x:c>
      <x:c r="G357" s="39" t="n">
        <x:v>46063</x:v>
      </x:c>
      <x:c r="H357" s="16" t="str">
        <x:v>02/2026</x:v>
      </x:c>
      <x:c r="I357" s="40" t="n">
        <x:v>0.01</x:v>
      </x:c>
      <x:c r="J357" s="40" t="n">
        <x:v>0.01</x:v>
      </x:c>
      <x:c r="K357" s="16" t="str">
        <x:v>Novo</x:v>
      </x:c>
      <x:c r="L357" s="16" t="str">
        <x:v>Em aberto</x:v>
      </x:c>
      <x:c r="M357" s="16" t="str">
        <x:v>ea5611a5-d6b4-4aff-b389-c69c5d628746</x:v>
      </x:c>
      <x:c r="N357" s="41" t="str"/>
    </x:row>
    <x:row r="358">
      <x:c r="A358" s="37" t="str">
        <x:f>"000313"</x:f>
        <x:v>000313</x:v>
      </x:c>
      <x:c r="B358" s="38" t="str">
        <x:f>"0"</x:f>
        <x:v>0</x:v>
      </x:c>
      <x:c r="C358" s="38" t="str">
        <x:v>FRANCISCA FERNANDES L DA SILVA</x:v>
      </x:c>
      <x:c r="D358" s="38" t="str">
        <x:f>"50419870334"</x:f>
        <x:v>50419870334</x:v>
      </x:c>
      <x:c r="E358" s="38" t="str">
        <x:f>"11944954079"</x:f>
        <x:v>11944954079</x:v>
      </x:c>
      <x:c r="F358" s="38" t="str">
        <x:v>leandracsilva2016@gmail.com</x:v>
      </x:c>
      <x:c r="G358" s="39" t="n">
        <x:v>46032</x:v>
      </x:c>
      <x:c r="H358" s="16" t="str">
        <x:v>01/2026</x:v>
      </x:c>
      <x:c r="I358" s="40" t="n">
        <x:v>0.01</x:v>
      </x:c>
      <x:c r="J358" s="40" t="n">
        <x:v>0.01</x:v>
      </x:c>
      <x:c r="K358" s="16" t="str">
        <x:v>Novo</x:v>
      </x:c>
      <x:c r="L358" s="16" t="str">
        <x:v>Em aberto</x:v>
      </x:c>
      <x:c r="M358" s="16" t="str">
        <x:v>ca189279-9c53-4eec-9bf6-7f12138022e0</x:v>
      </x:c>
      <x:c r="N358" s="41" t="str"/>
    </x:row>
    <x:row r="359">
      <x:c r="A359" s="37" t="str">
        <x:f>"000313"</x:f>
        <x:v>000313</x:v>
      </x:c>
      <x:c r="B359" s="38" t="str">
        <x:f>"0"</x:f>
        <x:v>0</x:v>
      </x:c>
      <x:c r="C359" s="38" t="str">
        <x:v>FRANCISCA FERNANDES L DA SILVA</x:v>
      </x:c>
      <x:c r="D359" s="38" t="str">
        <x:f>"50419870334"</x:f>
        <x:v>50419870334</x:v>
      </x:c>
      <x:c r="E359" s="38" t="str">
        <x:f>"11944954079"</x:f>
        <x:v>11944954079</x:v>
      </x:c>
      <x:c r="F359" s="38" t="str">
        <x:v>leandracsilva2016@gmail.com</x:v>
      </x:c>
      <x:c r="G359" s="39" t="n">
        <x:v>46063</x:v>
      </x:c>
      <x:c r="H359" s="16" t="str">
        <x:v>02/2026</x:v>
      </x:c>
      <x:c r="I359" s="40" t="n">
        <x:v>0.01</x:v>
      </x:c>
      <x:c r="J359" s="40" t="n">
        <x:v>0.01</x:v>
      </x:c>
      <x:c r="K359" s="16" t="str">
        <x:v>Novo</x:v>
      </x:c>
      <x:c r="L359" s="16" t="str">
        <x:v>Em aberto</x:v>
      </x:c>
      <x:c r="M359" s="16" t="str">
        <x:v>c9c53838-cd2d-4a5a-be05-608a1b999322</x:v>
      </x:c>
      <x:c r="N359" s="41" t="str"/>
    </x:row>
    <x:row r="360">
      <x:c r="A360" s="37" t="str">
        <x:f>"000313"</x:f>
        <x:v>000313</x:v>
      </x:c>
      <x:c r="B360" s="38" t="str">
        <x:f>"0"</x:f>
        <x:v>0</x:v>
      </x:c>
      <x:c r="C360" s="38" t="str">
        <x:v>FRANCISCA FERNANDES L DA SILVA</x:v>
      </x:c>
      <x:c r="D360" s="38" t="str">
        <x:f>"50419870334"</x:f>
        <x:v>50419870334</x:v>
      </x:c>
      <x:c r="E360" s="38" t="str">
        <x:f>"11944954079"</x:f>
        <x:v>11944954079</x:v>
      </x:c>
      <x:c r="F360" s="38" t="str">
        <x:v>leandracsilva2016@gmail.com</x:v>
      </x:c>
      <x:c r="G360" s="39" t="n">
        <x:v>46091</x:v>
      </x:c>
      <x:c r="H360" s="16" t="str">
        <x:v>03/2026</x:v>
      </x:c>
      <x:c r="I360" s="40" t="n">
        <x:v>0.01</x:v>
      </x:c>
      <x:c r="J360" s="40" t="n">
        <x:v>0.01</x:v>
      </x:c>
      <x:c r="K360" s="16" t="str">
        <x:v>Novo</x:v>
      </x:c>
      <x:c r="L360" s="16" t="str">
        <x:v>Em aberto</x:v>
      </x:c>
      <x:c r="M360" s="16" t="str">
        <x:v>d5e03060-0afb-49b4-a3b8-5e618107094e</x:v>
      </x:c>
      <x:c r="N360" s="41" t="str"/>
    </x:row>
    <x:row r="361">
      <x:c r="A361" s="37" t="str">
        <x:f>"000313"</x:f>
        <x:v>000313</x:v>
      </x:c>
      <x:c r="B361" s="38" t="str">
        <x:f>"0"</x:f>
        <x:v>0</x:v>
      </x:c>
      <x:c r="C361" s="38" t="str">
        <x:v>FRANCISCA FERNANDES L DA SILVA</x:v>
      </x:c>
      <x:c r="D361" s="38" t="str">
        <x:f>"50419870334"</x:f>
        <x:v>50419870334</x:v>
      </x:c>
      <x:c r="E361" s="38" t="str">
        <x:f>"11944954079"</x:f>
        <x:v>11944954079</x:v>
      </x:c>
      <x:c r="F361" s="38" t="str">
        <x:v>leandracsilva2016@gmail.com</x:v>
      </x:c>
      <x:c r="G361" s="39" t="n">
        <x:v>46152</x:v>
      </x:c>
      <x:c r="H361" s="16" t="str">
        <x:v>05/2026</x:v>
      </x:c>
      <x:c r="I361" s="40" t="n">
        <x:v>0.01</x:v>
      </x:c>
      <x:c r="J361" s="40" t="n">
        <x:v>0.01</x:v>
      </x:c>
      <x:c r="K361" s="16" t="str">
        <x:v>Novo</x:v>
      </x:c>
      <x:c r="L361" s="16" t="str">
        <x:v>Em aberto</x:v>
      </x:c>
      <x:c r="M361" s="16" t="str">
        <x:v>2ed79069-545b-4862-a6da-a53910ac7b57</x:v>
      </x:c>
      <x:c r="N361" s="41" t="str"/>
    </x:row>
    <x:row r="362">
      <x:c r="A362" s="37" t="str">
        <x:f>"000403"</x:f>
        <x:v>000403</x:v>
      </x:c>
      <x:c r="B362" s="38" t="str">
        <x:f>"0"</x:f>
        <x:v>0</x:v>
      </x:c>
      <x:c r="C362" s="38" t="str">
        <x:v>FERNANDA SILVA BARBOSA</x:v>
      </x:c>
      <x:c r="D362" s="38" t="str">
        <x:f>""</x:f>
      </x:c>
      <x:c r="E362" s="38" t="str">
        <x:f>""</x:f>
      </x:c>
      <x:c r="F362" s="38" t="str"/>
      <x:c r="G362" s="39" t="n">
        <x:v>46032</x:v>
      </x:c>
      <x:c r="H362" s="16" t="str">
        <x:v>01/2026</x:v>
      </x:c>
      <x:c r="I362" s="40" t="n">
        <x:v>0.01</x:v>
      </x:c>
      <x:c r="J362" s="40" t="n">
        <x:v>0.01</x:v>
      </x:c>
      <x:c r="K362" s="16" t="str">
        <x:v>Novo</x:v>
      </x:c>
      <x:c r="L362" s="16" t="str">
        <x:v>Em aberto</x:v>
      </x:c>
      <x:c r="M362" s="16" t="str">
        <x:v>fec01971-ef44-4590-ad2d-a3991bc34c27</x:v>
      </x:c>
      <x:c r="N362" s="41" t="str"/>
    </x:row>
    <x:row r="363">
      <x:c r="A363" s="37" t="str">
        <x:f>"000403"</x:f>
        <x:v>000403</x:v>
      </x:c>
      <x:c r="B363" s="38" t="str">
        <x:f>"0"</x:f>
        <x:v>0</x:v>
      </x:c>
      <x:c r="C363" s="38" t="str">
        <x:v>FERNANDA SILVA BARBOSA</x:v>
      </x:c>
      <x:c r="D363" s="38" t="str">
        <x:f>""</x:f>
      </x:c>
      <x:c r="E363" s="38" t="str">
        <x:f>""</x:f>
      </x:c>
      <x:c r="F363" s="38" t="str"/>
      <x:c r="G363" s="39" t="n">
        <x:v>46063</x:v>
      </x:c>
      <x:c r="H363" s="16" t="str">
        <x:v>02/2026</x:v>
      </x:c>
      <x:c r="I363" s="40" t="n">
        <x:v>0.01</x:v>
      </x:c>
      <x:c r="J363" s="40" t="n">
        <x:v>0.01</x:v>
      </x:c>
      <x:c r="K363" s="16" t="str">
        <x:v>Novo</x:v>
      </x:c>
      <x:c r="L363" s="16" t="str">
        <x:v>Em aberto</x:v>
      </x:c>
      <x:c r="M363" s="16" t="str">
        <x:v>005cbd1f-0847-4796-befb-d959189e9990</x:v>
      </x:c>
      <x:c r="N363" s="41" t="str"/>
    </x:row>
    <x:row r="364">
      <x:c r="A364" s="37" t="str">
        <x:f>"000403"</x:f>
        <x:v>000403</x:v>
      </x:c>
      <x:c r="B364" s="38" t="str">
        <x:f>"0"</x:f>
        <x:v>0</x:v>
      </x:c>
      <x:c r="C364" s="38" t="str">
        <x:v>FERNANDA SILVA BARBOSA</x:v>
      </x:c>
      <x:c r="D364" s="38" t="str">
        <x:f>""</x:f>
      </x:c>
      <x:c r="E364" s="38" t="str">
        <x:f>""</x:f>
      </x:c>
      <x:c r="F364" s="38" t="str"/>
      <x:c r="G364" s="39" t="n">
        <x:v>46091</x:v>
      </x:c>
      <x:c r="H364" s="16" t="str">
        <x:v>03/2026</x:v>
      </x:c>
      <x:c r="I364" s="40" t="n">
        <x:v>0.01</x:v>
      </x:c>
      <x:c r="J364" s="40" t="n">
        <x:v>0.01</x:v>
      </x:c>
      <x:c r="K364" s="16" t="str">
        <x:v>Novo</x:v>
      </x:c>
      <x:c r="L364" s="16" t="str">
        <x:v>Em aberto</x:v>
      </x:c>
      <x:c r="M364" s="16" t="str">
        <x:v>9fee0316-b5cc-4fde-b592-7612a26a5d60</x:v>
      </x:c>
      <x:c r="N364" s="41" t="str"/>
    </x:row>
    <x:row r="365">
      <x:c r="A365" s="37" t="str">
        <x:f>"000403"</x:f>
        <x:v>000403</x:v>
      </x:c>
      <x:c r="B365" s="38" t="str">
        <x:f>"0"</x:f>
        <x:v>0</x:v>
      </x:c>
      <x:c r="C365" s="38" t="str">
        <x:v>FERNANDA SILVA BARBOSA</x:v>
      </x:c>
      <x:c r="D365" s="38" t="str">
        <x:f>""</x:f>
      </x:c>
      <x:c r="E365" s="38" t="str">
        <x:f>""</x:f>
      </x:c>
      <x:c r="F365" s="38" t="str"/>
      <x:c r="G365" s="39" t="n">
        <x:v>46122</x:v>
      </x:c>
      <x:c r="H365" s="16" t="str">
        <x:v>04/2026</x:v>
      </x:c>
      <x:c r="I365" s="40" t="n">
        <x:v>0.01</x:v>
      </x:c>
      <x:c r="J365" s="40" t="n">
        <x:v>0.01</x:v>
      </x:c>
      <x:c r="K365" s="16" t="str">
        <x:v>Novo</x:v>
      </x:c>
      <x:c r="L365" s="16" t="str">
        <x:v>Em aberto</x:v>
      </x:c>
      <x:c r="M365" s="16" t="str">
        <x:v>0994c0ea-6666-4ed7-9a2c-80ab3d73b54b</x:v>
      </x:c>
      <x:c r="N365" s="41" t="str"/>
    </x:row>
    <x:row r="366">
      <x:c r="A366" s="37" t="str">
        <x:f>"000403"</x:f>
        <x:v>000403</x:v>
      </x:c>
      <x:c r="B366" s="38" t="str">
        <x:f>"0"</x:f>
        <x:v>0</x:v>
      </x:c>
      <x:c r="C366" s="38" t="str">
        <x:v>FERNANDA SILVA BARBOSA</x:v>
      </x:c>
      <x:c r="D366" s="38" t="str">
        <x:f>""</x:f>
      </x:c>
      <x:c r="E366" s="38" t="str">
        <x:f>""</x:f>
      </x:c>
      <x:c r="F366" s="38" t="str"/>
      <x:c r="G366" s="39" t="n">
        <x:v>46183</x:v>
      </x:c>
      <x:c r="H366" s="16" t="str">
        <x:v>06/2026</x:v>
      </x:c>
      <x:c r="I366" s="40" t="n">
        <x:v>0.01</x:v>
      </x:c>
      <x:c r="J366" s="40" t="n">
        <x:v>0.01</x:v>
      </x:c>
      <x:c r="K366" s="16" t="str">
        <x:v>Novo</x:v>
      </x:c>
      <x:c r="L366" s="16" t="str">
        <x:v>Em aberto</x:v>
      </x:c>
      <x:c r="M366" s="16" t="str">
        <x:v>aef1c224-b1e5-492e-b1c9-ebce86801011</x:v>
      </x:c>
      <x:c r="N366" s="41" t="str"/>
    </x:row>
    <x:row r="367">
      <x:c r="A367" s="37" t="str">
        <x:f>"000407"</x:f>
        <x:v>000407</x:v>
      </x:c>
      <x:c r="B367" s="38" t="str">
        <x:f>"0"</x:f>
        <x:v>0</x:v>
      </x:c>
      <x:c r="C367" s="38" t="str">
        <x:v>JOSE LUIS BENEDITO</x:v>
      </x:c>
      <x:c r="D367" s="38" t="str">
        <x:f>"09185649805"</x:f>
        <x:v>09185649805</x:v>
      </x:c>
      <x:c r="E367" s="38" t="str">
        <x:f>"11988730163"</x:f>
        <x:v>11988730163</x:v>
      </x:c>
      <x:c r="F367" s="38" t="str">
        <x:v>ebenedito111@gmail.com</x:v>
      </x:c>
      <x:c r="G367" s="39" t="n">
        <x:v>46122</x:v>
      </x:c>
      <x:c r="H367" s="16" t="str">
        <x:v>04/2026</x:v>
      </x:c>
      <x:c r="I367" s="40" t="n">
        <x:v>0.01</x:v>
      </x:c>
      <x:c r="J367" s="40" t="n">
        <x:v>0.01</x:v>
      </x:c>
      <x:c r="K367" s="16" t="str">
        <x:v>Novo</x:v>
      </x:c>
      <x:c r="L367" s="16" t="str">
        <x:v>Em aberto</x:v>
      </x:c>
      <x:c r="M367" s="16" t="str">
        <x:v>04fde4d9-c9ed-400a-bfbe-8bca9e4fc1be</x:v>
      </x:c>
      <x:c r="N367" s="41" t="str"/>
    </x:row>
    <x:row r="368">
      <x:c r="A368" s="37" t="str">
        <x:f>"000407"</x:f>
        <x:v>000407</x:v>
      </x:c>
      <x:c r="B368" s="38" t="str">
        <x:f>"0"</x:f>
        <x:v>0</x:v>
      </x:c>
      <x:c r="C368" s="38" t="str">
        <x:v>JOSE LUIS BENEDITO</x:v>
      </x:c>
      <x:c r="D368" s="38" t="str">
        <x:f>"09185649805"</x:f>
        <x:v>09185649805</x:v>
      </x:c>
      <x:c r="E368" s="38" t="str">
        <x:f>"11988730163"</x:f>
        <x:v>11988730163</x:v>
      </x:c>
      <x:c r="F368" s="38" t="str">
        <x:v>ebenedito111@gmail.com</x:v>
      </x:c>
      <x:c r="G368" s="39" t="n">
        <x:v>46152</x:v>
      </x:c>
      <x:c r="H368" s="16" t="str">
        <x:v>05/2026</x:v>
      </x:c>
      <x:c r="I368" s="40" t="n">
        <x:v>0.01</x:v>
      </x:c>
      <x:c r="J368" s="40" t="n">
        <x:v>0.01</x:v>
      </x:c>
      <x:c r="K368" s="16" t="str">
        <x:v>Novo</x:v>
      </x:c>
      <x:c r="L368" s="16" t="str">
        <x:v>Em aberto</x:v>
      </x:c>
      <x:c r="M368" s="16" t="str">
        <x:v>d0f40c6a-38f2-46f2-9277-ea53d138f5ad</x:v>
      </x:c>
      <x:c r="N368" s="41" t="str"/>
    </x:row>
    <x:row r="369">
      <x:c r="A369" s="37" t="str">
        <x:f>"000407"</x:f>
        <x:v>000407</x:v>
      </x:c>
      <x:c r="B369" s="38" t="str">
        <x:f>"0"</x:f>
        <x:v>0</x:v>
      </x:c>
      <x:c r="C369" s="38" t="str">
        <x:v>JOSE LUIS BENEDITO</x:v>
      </x:c>
      <x:c r="D369" s="38" t="str">
        <x:f>"09185649805"</x:f>
        <x:v>09185649805</x:v>
      </x:c>
      <x:c r="E369" s="38" t="str">
        <x:f>"11988730163"</x:f>
        <x:v>11988730163</x:v>
      </x:c>
      <x:c r="F369" s="38" t="str">
        <x:v>ebenedito111@gmail.com</x:v>
      </x:c>
      <x:c r="G369" s="39" t="n">
        <x:v>46183</x:v>
      </x:c>
      <x:c r="H369" s="16" t="str">
        <x:v>06/2026</x:v>
      </x:c>
      <x:c r="I369" s="40" t="n">
        <x:v>0.01</x:v>
      </x:c>
      <x:c r="J369" s="40" t="n">
        <x:v>0.01</x:v>
      </x:c>
      <x:c r="K369" s="16" t="str">
        <x:v>Novo</x:v>
      </x:c>
      <x:c r="L369" s="16" t="str">
        <x:v>Em aberto</x:v>
      </x:c>
      <x:c r="M369" s="16" t="str">
        <x:v>f7944a06-f324-4929-8a59-bd897c9eeba3</x:v>
      </x:c>
      <x:c r="N369" s="41" t="str"/>
    </x:row>
    <x:row r="370">
      <x:c r="A370" s="37" t="str">
        <x:f>"000411"</x:f>
        <x:v>000411</x:v>
      </x:c>
      <x:c r="B370" s="38" t="str">
        <x:f>"0"</x:f>
        <x:v>0</x:v>
      </x:c>
      <x:c r="C370" s="38" t="str">
        <x:v>JULIANO FABRICIO DE OLIVEIRA MALTEZ</x:v>
      </x:c>
      <x:c r="D370" s="38" t="str">
        <x:f>"30903671816"</x:f>
        <x:v>30903671816</x:v>
      </x:c>
      <x:c r="E370" s="38" t="str">
        <x:f>"11949888435"</x:f>
        <x:v>11949888435</x:v>
      </x:c>
      <x:c r="F370" s="38" t="str">
        <x:v>uliano@gmail.com</x:v>
      </x:c>
      <x:c r="G370" s="39" t="n">
        <x:v>46032</x:v>
      </x:c>
      <x:c r="H370" s="16" t="str">
        <x:v>01/2026</x:v>
      </x:c>
      <x:c r="I370" s="40" t="n">
        <x:v>0.01</x:v>
      </x:c>
      <x:c r="J370" s="40" t="n">
        <x:v>0.01</x:v>
      </x:c>
      <x:c r="K370" s="16" t="str">
        <x:v>Novo</x:v>
      </x:c>
      <x:c r="L370" s="16" t="str">
        <x:v>Em aberto</x:v>
      </x:c>
      <x:c r="M370" s="16" t="str">
        <x:v>a9f06c8b-3f59-43ca-b7a1-63d40ce7f42c</x:v>
      </x:c>
      <x:c r="N370" s="41" t="str"/>
    </x:row>
    <x:row r="371">
      <x:c r="A371" s="37" t="str">
        <x:f>"000411"</x:f>
        <x:v>000411</x:v>
      </x:c>
      <x:c r="B371" s="38" t="str">
        <x:f>"0"</x:f>
        <x:v>0</x:v>
      </x:c>
      <x:c r="C371" s="38" t="str">
        <x:v>JULIANO FABRICIO DE OLIVEIRA MALTEZ</x:v>
      </x:c>
      <x:c r="D371" s="38" t="str">
        <x:f>"30903671816"</x:f>
        <x:v>30903671816</x:v>
      </x:c>
      <x:c r="E371" s="38" t="str">
        <x:f>"11949888435"</x:f>
        <x:v>11949888435</x:v>
      </x:c>
      <x:c r="F371" s="38" t="str">
        <x:v>uliano@gmail.com</x:v>
      </x:c>
      <x:c r="G371" s="39" t="n">
        <x:v>46063</x:v>
      </x:c>
      <x:c r="H371" s="16" t="str">
        <x:v>02/2026</x:v>
      </x:c>
      <x:c r="I371" s="40" t="n">
        <x:v>0.01</x:v>
      </x:c>
      <x:c r="J371" s="40" t="n">
        <x:v>0.01</x:v>
      </x:c>
      <x:c r="K371" s="16" t="str">
        <x:v>Novo</x:v>
      </x:c>
      <x:c r="L371" s="16" t="str">
        <x:v>Em aberto</x:v>
      </x:c>
      <x:c r="M371" s="16" t="str">
        <x:v>86f318e1-d024-4faa-a873-741330cc8571</x:v>
      </x:c>
      <x:c r="N371" s="41" t="str"/>
    </x:row>
    <x:row r="372">
      <x:c r="A372" s="37" t="str">
        <x:f>"000411"</x:f>
        <x:v>000411</x:v>
      </x:c>
      <x:c r="B372" s="38" t="str">
        <x:f>"0"</x:f>
        <x:v>0</x:v>
      </x:c>
      <x:c r="C372" s="38" t="str">
        <x:v>JULIANO FABRICIO DE OLIVEIRA MALTEZ</x:v>
      </x:c>
      <x:c r="D372" s="38" t="str">
        <x:f>"30903671816"</x:f>
        <x:v>30903671816</x:v>
      </x:c>
      <x:c r="E372" s="38" t="str">
        <x:f>"11949888435"</x:f>
        <x:v>11949888435</x:v>
      </x:c>
      <x:c r="F372" s="38" t="str">
        <x:v>uliano@gmail.com</x:v>
      </x:c>
      <x:c r="G372" s="39" t="n">
        <x:v>46091</x:v>
      </x:c>
      <x:c r="H372" s="16" t="str">
        <x:v>03/2026</x:v>
      </x:c>
      <x:c r="I372" s="40" t="n">
        <x:v>0.01</x:v>
      </x:c>
      <x:c r="J372" s="40" t="n">
        <x:v>0.01</x:v>
      </x:c>
      <x:c r="K372" s="16" t="str">
        <x:v>Novo</x:v>
      </x:c>
      <x:c r="L372" s="16" t="str">
        <x:v>Em aberto</x:v>
      </x:c>
      <x:c r="M372" s="16" t="str">
        <x:v>1543f82c-4fe8-4cba-beda-a8d9a0df195d</x:v>
      </x:c>
      <x:c r="N372" s="41" t="str"/>
    </x:row>
    <x:row r="373">
      <x:c r="A373" s="37" t="str">
        <x:f>"000411"</x:f>
        <x:v>000411</x:v>
      </x:c>
      <x:c r="B373" s="38" t="str">
        <x:f>"0"</x:f>
        <x:v>0</x:v>
      </x:c>
      <x:c r="C373" s="38" t="str">
        <x:v>JULIANO FABRICIO DE OLIVEIRA MALTEZ</x:v>
      </x:c>
      <x:c r="D373" s="38" t="str">
        <x:f>"30903671816"</x:f>
        <x:v>30903671816</x:v>
      </x:c>
      <x:c r="E373" s="38" t="str">
        <x:f>"11949888435"</x:f>
        <x:v>11949888435</x:v>
      </x:c>
      <x:c r="F373" s="38" t="str">
        <x:v>uliano@gmail.com</x:v>
      </x:c>
      <x:c r="G373" s="39" t="n">
        <x:v>46122</x:v>
      </x:c>
      <x:c r="H373" s="16" t="str">
        <x:v>04/2026</x:v>
      </x:c>
      <x:c r="I373" s="40" t="n">
        <x:v>0.01</x:v>
      </x:c>
      <x:c r="J373" s="40" t="n">
        <x:v>0.01</x:v>
      </x:c>
      <x:c r="K373" s="16" t="str">
        <x:v>Novo</x:v>
      </x:c>
      <x:c r="L373" s="16" t="str">
        <x:v>Em aberto</x:v>
      </x:c>
      <x:c r="M373" s="16" t="str">
        <x:v>658ecc58-f2d1-463c-ab95-1c68ea9f34ec</x:v>
      </x:c>
      <x:c r="N373" s="41" t="str"/>
    </x:row>
    <x:row r="374">
      <x:c r="A374" s="37" t="str">
        <x:f>"000411"</x:f>
        <x:v>000411</x:v>
      </x:c>
      <x:c r="B374" s="38" t="str">
        <x:f>"0"</x:f>
        <x:v>0</x:v>
      </x:c>
      <x:c r="C374" s="38" t="str">
        <x:v>JULIANO FABRICIO DE OLIVEIRA MALTEZ</x:v>
      </x:c>
      <x:c r="D374" s="38" t="str">
        <x:f>"30903671816"</x:f>
        <x:v>30903671816</x:v>
      </x:c>
      <x:c r="E374" s="38" t="str">
        <x:f>"11949888435"</x:f>
        <x:v>11949888435</x:v>
      </x:c>
      <x:c r="F374" s="38" t="str">
        <x:v>uliano@gmail.com</x:v>
      </x:c>
      <x:c r="G374" s="39" t="n">
        <x:v>46152</x:v>
      </x:c>
      <x:c r="H374" s="16" t="str">
        <x:v>05/2026</x:v>
      </x:c>
      <x:c r="I374" s="40" t="n">
        <x:v>0.01</x:v>
      </x:c>
      <x:c r="J374" s="40" t="n">
        <x:v>0.01</x:v>
      </x:c>
      <x:c r="K374" s="16" t="str">
        <x:v>Novo</x:v>
      </x:c>
      <x:c r="L374" s="16" t="str">
        <x:v>Em aberto</x:v>
      </x:c>
      <x:c r="M374" s="16" t="str">
        <x:v>58f08688-04d1-4bde-bb14-e0a124a23fdf</x:v>
      </x:c>
      <x:c r="N374" s="41" t="str"/>
    </x:row>
    <x:row r="375">
      <x:c r="A375" s="37" t="str">
        <x:f>"000411"</x:f>
        <x:v>000411</x:v>
      </x:c>
      <x:c r="B375" s="38" t="str">
        <x:f>"0"</x:f>
        <x:v>0</x:v>
      </x:c>
      <x:c r="C375" s="38" t="str">
        <x:v>JULIANO FABRICIO DE OLIVEIRA MALTEZ</x:v>
      </x:c>
      <x:c r="D375" s="38" t="str">
        <x:f>"30903671816"</x:f>
        <x:v>30903671816</x:v>
      </x:c>
      <x:c r="E375" s="38" t="str">
        <x:f>"11949888435"</x:f>
        <x:v>11949888435</x:v>
      </x:c>
      <x:c r="F375" s="38" t="str">
        <x:v>uliano@gmail.com</x:v>
      </x:c>
      <x:c r="G375" s="39" t="n">
        <x:v>46183</x:v>
      </x:c>
      <x:c r="H375" s="16" t="str">
        <x:v>06/2026</x:v>
      </x:c>
      <x:c r="I375" s="40" t="n">
        <x:v>0.01</x:v>
      </x:c>
      <x:c r="J375" s="40" t="n">
        <x:v>0.01</x:v>
      </x:c>
      <x:c r="K375" s="16" t="str">
        <x:v>Novo</x:v>
      </x:c>
      <x:c r="L375" s="16" t="str">
        <x:v>Em aberto</x:v>
      </x:c>
      <x:c r="M375" s="16" t="str">
        <x:v>acc78d59-c8b2-4f6d-897b-235f3c547ffb</x:v>
      </x:c>
      <x:c r="N375" s="41" t="str"/>
    </x:row>
    <x:row r="376">
      <x:c r="A376" s="37" t="str">
        <x:f>"000506"</x:f>
        <x:v>000506</x:v>
      </x:c>
      <x:c r="B376" s="38" t="str">
        <x:f>"0"</x:f>
        <x:v>0</x:v>
      </x:c>
      <x:c r="C376" s="38" t="str">
        <x:v>GEISO FERREIRA DA COSTA</x:v>
      </x:c>
      <x:c r="D376" s="38" t="str">
        <x:f>"28719058861"</x:f>
        <x:v>28719058861</x:v>
      </x:c>
      <x:c r="E376" s="38" t="str">
        <x:f>"11973337242"</x:f>
        <x:v>11973337242</x:v>
      </x:c>
      <x:c r="F376" s="38" t="str">
        <x:v>rubiass2014@gmail.com</x:v>
      </x:c>
      <x:c r="G376" s="39" t="n">
        <x:v>46152</x:v>
      </x:c>
      <x:c r="H376" s="16" t="str">
        <x:v>05/2026</x:v>
      </x:c>
      <x:c r="I376" s="40" t="n">
        <x:v>58.23</x:v>
      </x:c>
      <x:c r="J376" s="40" t="n">
        <x:v>61.32</x:v>
      </x:c>
      <x:c r="K376" s="16" t="str">
        <x:v>Novo</x:v>
      </x:c>
      <x:c r="L376" s="16" t="str">
        <x:v>Em aberto</x:v>
      </x:c>
      <x:c r="M376" s="16" t="str">
        <x:v>fca7ea57-ada9-4a70-8cae-ef0d86a18245</x:v>
      </x:c>
      <x:c r="N376" s="41" t="str"/>
    </x:row>
    <x:row r="377">
      <x:c r="A377" s="37" t="str">
        <x:f>"000508"</x:f>
        <x:v>000508</x:v>
      </x:c>
      <x:c r="B377" s="38" t="str">
        <x:f>"0"</x:f>
        <x:v>0</x:v>
      </x:c>
      <x:c r="C377" s="38" t="str">
        <x:v>VICTOR DA SILVA JOAQUIM</x:v>
      </x:c>
      <x:c r="D377" s="38" t="str">
        <x:f>"44551597899"</x:f>
        <x:v>44551597899</x:v>
      </x:c>
      <x:c r="E377" s="38" t="str">
        <x:f>"11960781953"</x:f>
        <x:v>11960781953</x:v>
      </x:c>
      <x:c r="F377" s="38" t="str">
        <x:v>contas.larivi@gamail.com</x:v>
      </x:c>
      <x:c r="G377" s="39" t="n">
        <x:v>46032</x:v>
      </x:c>
      <x:c r="H377" s="16" t="str">
        <x:v>01/2026</x:v>
      </x:c>
      <x:c r="I377" s="40" t="n">
        <x:v>0.01</x:v>
      </x:c>
      <x:c r="J377" s="40" t="n">
        <x:v>0.01</x:v>
      </x:c>
      <x:c r="K377" s="16" t="str">
        <x:v>Novo</x:v>
      </x:c>
      <x:c r="L377" s="16" t="str">
        <x:v>Em aberto</x:v>
      </x:c>
      <x:c r="M377" s="16" t="str">
        <x:v>b8568e65-a6ca-4cfb-a9e0-43c49d3918bc</x:v>
      </x:c>
      <x:c r="N377" s="41" t="str"/>
    </x:row>
    <x:row r="378">
      <x:c r="A378" s="37" t="str">
        <x:f>"000508"</x:f>
        <x:v>000508</x:v>
      </x:c>
      <x:c r="B378" s="38" t="str">
        <x:f>"0"</x:f>
        <x:v>0</x:v>
      </x:c>
      <x:c r="C378" s="38" t="str">
        <x:v>VICTOR DA SILVA JOAQUIM</x:v>
      </x:c>
      <x:c r="D378" s="38" t="str">
        <x:f>"44551597899"</x:f>
        <x:v>44551597899</x:v>
      </x:c>
      <x:c r="E378" s="38" t="str">
        <x:f>"11960781953"</x:f>
        <x:v>11960781953</x:v>
      </x:c>
      <x:c r="F378" s="38" t="str">
        <x:v>contas.larivi@gamail.com</x:v>
      </x:c>
      <x:c r="G378" s="39" t="n">
        <x:v>46063</x:v>
      </x:c>
      <x:c r="H378" s="16" t="str">
        <x:v>02/2026</x:v>
      </x:c>
      <x:c r="I378" s="40" t="n">
        <x:v>0.01</x:v>
      </x:c>
      <x:c r="J378" s="40" t="n">
        <x:v>0.01</x:v>
      </x:c>
      <x:c r="K378" s="16" t="str">
        <x:v>Novo</x:v>
      </x:c>
      <x:c r="L378" s="16" t="str">
        <x:v>Em aberto</x:v>
      </x:c>
      <x:c r="M378" s="16" t="str">
        <x:v>86eb72ab-e749-4558-ac7a-8f43266bf0dc</x:v>
      </x:c>
      <x:c r="N378" s="41" t="str"/>
    </x:row>
    <x:row r="379">
      <x:c r="A379" s="37" t="str">
        <x:f>"000508"</x:f>
        <x:v>000508</x:v>
      </x:c>
      <x:c r="B379" s="38" t="str">
        <x:f>"0"</x:f>
        <x:v>0</x:v>
      </x:c>
      <x:c r="C379" s="38" t="str">
        <x:v>VICTOR DA SILVA JOAQUIM</x:v>
      </x:c>
      <x:c r="D379" s="38" t="str">
        <x:f>"44551597899"</x:f>
        <x:v>44551597899</x:v>
      </x:c>
      <x:c r="E379" s="38" t="str">
        <x:f>"11960781953"</x:f>
        <x:v>11960781953</x:v>
      </x:c>
      <x:c r="F379" s="38" t="str">
        <x:v>contas.larivi@gamail.com</x:v>
      </x:c>
      <x:c r="G379" s="39" t="n">
        <x:v>46152</x:v>
      </x:c>
      <x:c r="H379" s="16" t="str">
        <x:v>05/2026</x:v>
      </x:c>
      <x:c r="I379" s="40" t="n">
        <x:v>0.01</x:v>
      </x:c>
      <x:c r="J379" s="40" t="n">
        <x:v>0.01</x:v>
      </x:c>
      <x:c r="K379" s="16" t="str">
        <x:v>Novo</x:v>
      </x:c>
      <x:c r="L379" s="16" t="str">
        <x:v>Em aberto</x:v>
      </x:c>
      <x:c r="M379" s="16" t="str">
        <x:v>c6d0d105-39a0-4143-beb0-f2228e71f1c2</x:v>
      </x:c>
      <x:c r="N379" s="41" t="str"/>
    </x:row>
    <x:row r="380">
      <x:c r="A380" s="37" t="str">
        <x:f>"000601"</x:f>
        <x:v>000601</x:v>
      </x:c>
      <x:c r="B380" s="38" t="str">
        <x:f>"0"</x:f>
        <x:v>0</x:v>
      </x:c>
      <x:c r="C380" s="38" t="str">
        <x:v>HARUYUKI SHIKASHO</x:v>
      </x:c>
      <x:c r="D380" s="38" t="str">
        <x:f>"03701000859"</x:f>
        <x:v>03701000859</x:v>
      </x:c>
      <x:c r="E380" s="38" t="str">
        <x:f>"11981519981"</x:f>
        <x:v>11981519981</x:v>
      </x:c>
      <x:c r="F380" s="38" t="str"/>
      <x:c r="G380" s="39" t="n">
        <x:v>46091</x:v>
      </x:c>
      <x:c r="H380" s="16" t="str">
        <x:v>03/2026</x:v>
      </x:c>
      <x:c r="I380" s="40" t="n">
        <x:v>0.01</x:v>
      </x:c>
      <x:c r="J380" s="40" t="n">
        <x:v>0.01</x:v>
      </x:c>
      <x:c r="K380" s="16" t="str">
        <x:v>Novo</x:v>
      </x:c>
      <x:c r="L380" s="16" t="str">
        <x:v>Em aberto</x:v>
      </x:c>
      <x:c r="M380" s="16" t="str">
        <x:v>5f58a1ef-287e-4bef-b214-06c01b6010dc</x:v>
      </x:c>
      <x:c r="N380" s="41" t="str"/>
    </x:row>
    <x:row r="381">
      <x:c r="A381" s="37" t="str">
        <x:f>"000606"</x:f>
        <x:v>000606</x:v>
      </x:c>
      <x:c r="B381" s="38" t="str">
        <x:f>"0"</x:f>
        <x:v>0</x:v>
      </x:c>
      <x:c r="C381" s="38" t="str">
        <x:v>JOSIANE TEODORA DA SILVA</x:v>
      </x:c>
      <x:c r="D381" s="38" t="str">
        <x:f>"17819775858"</x:f>
        <x:v>17819775858</x:v>
      </x:c>
      <x:c r="E381" s="38" t="str">
        <x:f>"11944545720"</x:f>
        <x:v>11944545720</x:v>
      </x:c>
      <x:c r="F381" s="38" t="str"/>
      <x:c r="G381" s="39" t="n">
        <x:v>46122</x:v>
      </x:c>
      <x:c r="H381" s="16" t="str">
        <x:v>04/2026</x:v>
      </x:c>
      <x:c r="I381" s="40" t="n">
        <x:v>0.01</x:v>
      </x:c>
      <x:c r="J381" s="40" t="n">
        <x:v>0.01</x:v>
      </x:c>
      <x:c r="K381" s="16" t="str">
        <x:v>Novo</x:v>
      </x:c>
      <x:c r="L381" s="16" t="str">
        <x:v>Em aberto</x:v>
      </x:c>
      <x:c r="M381" s="16" t="str">
        <x:v>15a49123-1dbd-44e2-bd04-62f4a0afecf4</x:v>
      </x:c>
      <x:c r="N381" s="41" t="str"/>
    </x:row>
    <x:row r="382">
      <x:c r="A382" s="37" t="str">
        <x:f>"000606"</x:f>
        <x:v>000606</x:v>
      </x:c>
      <x:c r="B382" s="38" t="str">
        <x:f>"0"</x:f>
        <x:v>0</x:v>
      </x:c>
      <x:c r="C382" s="38" t="str">
        <x:v>JOSIANE TEODORA DA SILVA</x:v>
      </x:c>
      <x:c r="D382" s="38" t="str">
        <x:f>"17819775858"</x:f>
        <x:v>17819775858</x:v>
      </x:c>
      <x:c r="E382" s="38" t="str">
        <x:f>"11944545720"</x:f>
        <x:v>11944545720</x:v>
      </x:c>
      <x:c r="F382" s="38" t="str"/>
      <x:c r="G382" s="39" t="n">
        <x:v>46183</x:v>
      </x:c>
      <x:c r="H382" s="16" t="str">
        <x:v>06/2026</x:v>
      </x:c>
      <x:c r="I382" s="40" t="n">
        <x:v>0.01</x:v>
      </x:c>
      <x:c r="J382" s="40" t="n">
        <x:v>0.01</x:v>
      </x:c>
      <x:c r="K382" s="16" t="str">
        <x:v>Novo</x:v>
      </x:c>
      <x:c r="L382" s="16" t="str">
        <x:v>Em aberto</x:v>
      </x:c>
      <x:c r="M382" s="16" t="str">
        <x:v>ed4d64e1-8b4b-477e-84ee-12a19163ed6b</x:v>
      </x:c>
      <x:c r="N382" s="41" t="str"/>
    </x:row>
    <x:row r="383">
      <x:c r="A383" s="37" t="str">
        <x:f>"000609"</x:f>
        <x:v>000609</x:v>
      </x:c>
      <x:c r="B383" s="38" t="str">
        <x:f>"0"</x:f>
        <x:v>0</x:v>
      </x:c>
      <x:c r="C383" s="38" t="str">
        <x:v>ENZO ABRAAO SOARES BENTO CPF: 472.303.488-97 - Locatário(a): JESSICA CORDEIRO DE SOUZA</x:v>
      </x:c>
      <x:c r="D383" s="38" t="str">
        <x:f>"47230348897"</x:f>
        <x:v>47230348897</x:v>
      </x:c>
      <x:c r="E383" s="38" t="str">
        <x:f>"11983309449"</x:f>
        <x:v>11983309449</x:v>
      </x:c>
      <x:c r="F383" s="38" t="str">
        <x:v>oabraao001@gmail.com</x:v>
      </x:c>
      <x:c r="G383" s="39" t="n">
        <x:v>46122</x:v>
      </x:c>
      <x:c r="H383" s="16" t="str">
        <x:v>04/2026</x:v>
      </x:c>
      <x:c r="I383" s="40" t="n">
        <x:v>0.01</x:v>
      </x:c>
      <x:c r="J383" s="40" t="n">
        <x:v>0.01</x:v>
      </x:c>
      <x:c r="K383" s="16" t="str">
        <x:v>Novo</x:v>
      </x:c>
      <x:c r="L383" s="16" t="str">
        <x:v>Em aberto</x:v>
      </x:c>
      <x:c r="M383" s="16" t="str">
        <x:v>f396e4af-a30d-40c3-bb1b-aa6fdbb64506</x:v>
      </x:c>
      <x:c r="N383" s="41" t="str"/>
    </x:row>
    <x:row r="384">
      <x:c r="A384" s="37" t="str">
        <x:f>"000609"</x:f>
        <x:v>000609</x:v>
      </x:c>
      <x:c r="B384" s="38" t="str">
        <x:f>"0"</x:f>
        <x:v>0</x:v>
      </x:c>
      <x:c r="C384" s="38" t="str">
        <x:v>ENZO ABRAAO SOARES BENTO CPF: 472.303.488-97 - Locatário(a): JESSICA CORDEIRO DE SOUZA</x:v>
      </x:c>
      <x:c r="D384" s="38" t="str">
        <x:f>"47230348897"</x:f>
        <x:v>47230348897</x:v>
      </x:c>
      <x:c r="E384" s="38" t="str">
        <x:f>"11983309449"</x:f>
        <x:v>11983309449</x:v>
      </x:c>
      <x:c r="F384" s="38" t="str">
        <x:v>oabraao001@gmail.com</x:v>
      </x:c>
      <x:c r="G384" s="39" t="n">
        <x:v>46152</x:v>
      </x:c>
      <x:c r="H384" s="16" t="str">
        <x:v>05/2026</x:v>
      </x:c>
      <x:c r="I384" s="40" t="n">
        <x:v>0.01</x:v>
      </x:c>
      <x:c r="J384" s="40" t="n">
        <x:v>0.01</x:v>
      </x:c>
      <x:c r="K384" s="16" t="str">
        <x:v>Novo</x:v>
      </x:c>
      <x:c r="L384" s="16" t="str">
        <x:v>Em aberto</x:v>
      </x:c>
      <x:c r="M384" s="16" t="str">
        <x:v>4f5cea46-d317-4e97-83c2-5711136271a7</x:v>
      </x:c>
      <x:c r="N384" s="41" t="str"/>
    </x:row>
    <x:row r="385">
      <x:c r="A385" s="37" t="str">
        <x:f>"000609"</x:f>
        <x:v>000609</x:v>
      </x:c>
      <x:c r="B385" s="38" t="str">
        <x:f>"0"</x:f>
        <x:v>0</x:v>
      </x:c>
      <x:c r="C385" s="38" t="str">
        <x:v>ENZO ABRAAO SOARES BENTO CPF: 472.303.488-97 - Locatário(a): JESSICA CORDEIRO DE SOUZA</x:v>
      </x:c>
      <x:c r="D385" s="38" t="str">
        <x:f>"47230348897"</x:f>
        <x:v>47230348897</x:v>
      </x:c>
      <x:c r="E385" s="38" t="str">
        <x:f>"11983309449"</x:f>
        <x:v>11983309449</x:v>
      </x:c>
      <x:c r="F385" s="38" t="str">
        <x:v>oabraao001@gmail.com</x:v>
      </x:c>
      <x:c r="G385" s="39" t="n">
        <x:v>46183</x:v>
      </x:c>
      <x:c r="H385" s="16" t="str">
        <x:v>06/2026</x:v>
      </x:c>
      <x:c r="I385" s="40" t="n">
        <x:v>0.01</x:v>
      </x:c>
      <x:c r="J385" s="40" t="n">
        <x:v>0.01</x:v>
      </x:c>
      <x:c r="K385" s="16" t="str">
        <x:v>Novo</x:v>
      </x:c>
      <x:c r="L385" s="16" t="str">
        <x:v>Em aberto</x:v>
      </x:c>
      <x:c r="M385" s="16" t="str">
        <x:v>638c7841-24ab-4579-83c8-85c2d73b3480</x:v>
      </x:c>
      <x:c r="N385" s="41" t="str"/>
    </x:row>
    <x:row r="386">
      <x:c r="A386" s="37" t="str">
        <x:f>"000708"</x:f>
        <x:v>000708</x:v>
      </x:c>
      <x:c r="B386" s="38" t="str">
        <x:f>"0"</x:f>
        <x:v>0</x:v>
      </x:c>
      <x:c r="C386" s="38" t="str">
        <x:v>JOSE RICARDO COIMBRA DE ALMEIDA CPF: 707.544.037-34 - Locatário(a): ANTÔNIO CARLOS PIZANI JUNIOR</x:v>
      </x:c>
      <x:c r="D386" s="38" t="str">
        <x:f>"70754403734"</x:f>
        <x:v>70754403734</x:v>
      </x:c>
      <x:c r="E386" s="38" t="str">
        <x:f>"11964500760"</x:f>
        <x:v>11964500760</x:v>
      </x:c>
      <x:c r="F386" s="38" t="str">
        <x:v>osericardocoimbra@gmail.com</x:v>
      </x:c>
      <x:c r="G386" s="39" t="n">
        <x:v>46183</x:v>
      </x:c>
      <x:c r="H386" s="16" t="str">
        <x:v>06/2026</x:v>
      </x:c>
      <x:c r="I386" s="40" t="n">
        <x:v>0.01</x:v>
      </x:c>
      <x:c r="J386" s="40" t="n">
        <x:v>0.01</x:v>
      </x:c>
      <x:c r="K386" s="16" t="str">
        <x:v>Novo</x:v>
      </x:c>
      <x:c r="L386" s="16" t="str">
        <x:v>Em aberto</x:v>
      </x:c>
      <x:c r="M386" s="16" t="str">
        <x:v>d4cd8942-51e2-4d4f-b732-e8a2463a6869</x:v>
      </x:c>
      <x:c r="N386" s="41" t="str"/>
    </x:row>
    <x:row r="387">
      <x:c r="A387" s="37" t="str">
        <x:f>"000807"</x:f>
        <x:v>000807</x:v>
      </x:c>
      <x:c r="B387" s="38" t="str">
        <x:f>"0"</x:f>
        <x:v>0</x:v>
      </x:c>
      <x:c r="C387" s="38" t="str">
        <x:v>DENISE APARECIDA DA SILVA</x:v>
      </x:c>
      <x:c r="D387" s="38" t="str">
        <x:f>"33520922819"</x:f>
        <x:v>33520922819</x:v>
      </x:c>
      <x:c r="E387" s="38" t="str">
        <x:f>"11994690591"</x:f>
        <x:v>11994690591</x:v>
      </x:c>
      <x:c r="F387" s="38" t="str">
        <x:v>deniseap.silva2@gmail.com</x:v>
      </x:c>
      <x:c r="G387" s="39" t="n">
        <x:v>46091</x:v>
      </x:c>
      <x:c r="H387" s="16" t="str">
        <x:v>03/2026</x:v>
      </x:c>
      <x:c r="I387" s="40" t="n">
        <x:v>0.01</x:v>
      </x:c>
      <x:c r="J387" s="40" t="n">
        <x:v>0.01</x:v>
      </x:c>
      <x:c r="K387" s="16" t="str">
        <x:v>Novo</x:v>
      </x:c>
      <x:c r="L387" s="16" t="str">
        <x:v>Em aberto</x:v>
      </x:c>
      <x:c r="M387" s="16" t="str">
        <x:v>0c196cd6-6495-44c0-b27f-36725f3f5d87</x:v>
      </x:c>
      <x:c r="N387" s="41" t="str"/>
    </x:row>
    <x:row r="388">
      <x:c r="A388" s="37" t="str">
        <x:f>"000807"</x:f>
        <x:v>000807</x:v>
      </x:c>
      <x:c r="B388" s="38" t="str">
        <x:f>"0"</x:f>
        <x:v>0</x:v>
      </x:c>
      <x:c r="C388" s="38" t="str">
        <x:v>DENISE APARECIDA DA SILVA</x:v>
      </x:c>
      <x:c r="D388" s="38" t="str">
        <x:f>"33520922819"</x:f>
        <x:v>33520922819</x:v>
      </x:c>
      <x:c r="E388" s="38" t="str">
        <x:f>"11994690591"</x:f>
        <x:v>11994690591</x:v>
      </x:c>
      <x:c r="F388" s="38" t="str">
        <x:v>deniseap.silva2@gmail.com</x:v>
      </x:c>
      <x:c r="G388" s="39" t="n">
        <x:v>46122</x:v>
      </x:c>
      <x:c r="H388" s="16" t="str">
        <x:v>04/2026</x:v>
      </x:c>
      <x:c r="I388" s="40" t="n">
        <x:v>0.01</x:v>
      </x:c>
      <x:c r="J388" s="40" t="n">
        <x:v>0.01</x:v>
      </x:c>
      <x:c r="K388" s="16" t="str">
        <x:v>Novo</x:v>
      </x:c>
      <x:c r="L388" s="16" t="str">
        <x:v>Em aberto</x:v>
      </x:c>
      <x:c r="M388" s="16" t="str">
        <x:v>db9559fd-deb8-461b-b799-6ea7853742f0</x:v>
      </x:c>
      <x:c r="N388" s="41" t="str"/>
    </x:row>
    <x:row r="389">
      <x:c r="A389" s="37" t="str">
        <x:f>"000807"</x:f>
        <x:v>000807</x:v>
      </x:c>
      <x:c r="B389" s="38" t="str">
        <x:f>"0"</x:f>
        <x:v>0</x:v>
      </x:c>
      <x:c r="C389" s="38" t="str">
        <x:v>DENISE APARECIDA DA SILVA</x:v>
      </x:c>
      <x:c r="D389" s="38" t="str">
        <x:f>"33520922819"</x:f>
        <x:v>33520922819</x:v>
      </x:c>
      <x:c r="E389" s="38" t="str">
        <x:f>"11994690591"</x:f>
        <x:v>11994690591</x:v>
      </x:c>
      <x:c r="F389" s="38" t="str">
        <x:v>deniseap.silva2@gmail.com</x:v>
      </x:c>
      <x:c r="G389" s="39" t="n">
        <x:v>46152</x:v>
      </x:c>
      <x:c r="H389" s="16" t="str">
        <x:v>05/2026</x:v>
      </x:c>
      <x:c r="I389" s="40" t="n">
        <x:v>0.01</x:v>
      </x:c>
      <x:c r="J389" s="40" t="n">
        <x:v>0.01</x:v>
      </x:c>
      <x:c r="K389" s="16" t="str">
        <x:v>Novo</x:v>
      </x:c>
      <x:c r="L389" s="16" t="str">
        <x:v>Em aberto</x:v>
      </x:c>
      <x:c r="M389" s="16" t="str">
        <x:v>e2cf91b7-3b2a-43fa-81fc-018d63fe7376</x:v>
      </x:c>
      <x:c r="N389" s="41" t="str"/>
    </x:row>
    <x:row r="390">
      <x:c r="A390" s="37" t="str">
        <x:f>"000807"</x:f>
        <x:v>000807</x:v>
      </x:c>
      <x:c r="B390" s="38" t="str">
        <x:f>"0"</x:f>
        <x:v>0</x:v>
      </x:c>
      <x:c r="C390" s="38" t="str">
        <x:v>DENISE APARECIDA DA SILVA</x:v>
      </x:c>
      <x:c r="D390" s="38" t="str">
        <x:f>"33520922819"</x:f>
        <x:v>33520922819</x:v>
      </x:c>
      <x:c r="E390" s="38" t="str">
        <x:f>"11994690591"</x:f>
        <x:v>11994690591</x:v>
      </x:c>
      <x:c r="F390" s="38" t="str">
        <x:v>deniseap.silva2@gmail.com</x:v>
      </x:c>
      <x:c r="G390" s="39" t="n">
        <x:v>46183</x:v>
      </x:c>
      <x:c r="H390" s="16" t="str">
        <x:v>06/2026</x:v>
      </x:c>
      <x:c r="I390" s="40" t="n">
        <x:v>0.01</x:v>
      </x:c>
      <x:c r="J390" s="40" t="n">
        <x:v>0.01</x:v>
      </x:c>
      <x:c r="K390" s="16" t="str">
        <x:v>Novo</x:v>
      </x:c>
      <x:c r="L390" s="16" t="str">
        <x:v>Em aberto</x:v>
      </x:c>
      <x:c r="M390" s="16" t="str">
        <x:v>a48f2182-212f-408f-b593-3616ccdee6bd</x:v>
      </x:c>
      <x:c r="N390" s="41" t="str"/>
    </x:row>
    <x:row r="391">
      <x:c r="A391" s="37" t="str">
        <x:f>"000904"</x:f>
        <x:v>000904</x:v>
      </x:c>
      <x:c r="B391" s="38" t="str">
        <x:f>"0"</x:f>
        <x:v>0</x:v>
      </x:c>
      <x:c r="C391" s="38" t="str">
        <x:v>MARIA UCIELIA CARDOSO GOMES</x:v>
      </x:c>
      <x:c r="D391" s="38" t="str">
        <x:f>"35610807824"</x:f>
        <x:v>35610807824</x:v>
      </x:c>
      <x:c r="E391" s="38" t="str">
        <x:f>"11933201528"</x:f>
        <x:v>11933201528</x:v>
      </x:c>
      <x:c r="F391" s="38" t="str">
        <x:v>macardosog@gmail.com</x:v>
      </x:c>
      <x:c r="G391" s="39" t="n">
        <x:v>46091</x:v>
      </x:c>
      <x:c r="H391" s="16" t="str">
        <x:v>03/2026</x:v>
      </x:c>
      <x:c r="I391" s="40" t="n">
        <x:v>0.01</x:v>
      </x:c>
      <x:c r="J391" s="40" t="n">
        <x:v>0.01</x:v>
      </x:c>
      <x:c r="K391" s="16" t="str">
        <x:v>Novo</x:v>
      </x:c>
      <x:c r="L391" s="16" t="str">
        <x:v>Em aberto</x:v>
      </x:c>
      <x:c r="M391" s="16" t="str">
        <x:v>fc281cd3-affe-477c-ba2a-f9623e41eb83</x:v>
      </x:c>
      <x:c r="N391" s="41" t="str"/>
    </x:row>
    <x:row r="392">
      <x:c r="A392" s="37" t="str">
        <x:f>"000904"</x:f>
        <x:v>000904</x:v>
      </x:c>
      <x:c r="B392" s="38" t="str">
        <x:f>"0"</x:f>
        <x:v>0</x:v>
      </x:c>
      <x:c r="C392" s="38" t="str">
        <x:v>MARIA UCIELIA CARDOSO GOMES</x:v>
      </x:c>
      <x:c r="D392" s="38" t="str">
        <x:f>"35610807824"</x:f>
        <x:v>35610807824</x:v>
      </x:c>
      <x:c r="E392" s="38" t="str">
        <x:f>"11933201528"</x:f>
        <x:v>11933201528</x:v>
      </x:c>
      <x:c r="F392" s="38" t="str">
        <x:v>macardosog@gmail.com</x:v>
      </x:c>
      <x:c r="G392" s="39" t="n">
        <x:v>46122</x:v>
      </x:c>
      <x:c r="H392" s="16" t="str">
        <x:v>04/2026</x:v>
      </x:c>
      <x:c r="I392" s="40" t="n">
        <x:v>0.01</x:v>
      </x:c>
      <x:c r="J392" s="40" t="n">
        <x:v>0.01</x:v>
      </x:c>
      <x:c r="K392" s="16" t="str">
        <x:v>Novo</x:v>
      </x:c>
      <x:c r="L392" s="16" t="str">
        <x:v>Em aberto</x:v>
      </x:c>
      <x:c r="M392" s="16" t="str">
        <x:v>04e8f034-7f62-4e83-97fc-0bfdd8f6cc9d</x:v>
      </x:c>
      <x:c r="N392" s="41" t="str"/>
    </x:row>
    <x:row r="393">
      <x:c r="A393" s="37" t="str">
        <x:f>"000904"</x:f>
        <x:v>000904</x:v>
      </x:c>
      <x:c r="B393" s="38" t="str">
        <x:f>"0"</x:f>
        <x:v>0</x:v>
      </x:c>
      <x:c r="C393" s="38" t="str">
        <x:v>MARIA UCIELIA CARDOSO GOMES</x:v>
      </x:c>
      <x:c r="D393" s="38" t="str">
        <x:f>"35610807824"</x:f>
        <x:v>35610807824</x:v>
      </x:c>
      <x:c r="E393" s="38" t="str">
        <x:f>"11933201528"</x:f>
        <x:v>11933201528</x:v>
      </x:c>
      <x:c r="F393" s="38" t="str">
        <x:v>macardosog@gmail.com</x:v>
      </x:c>
      <x:c r="G393" s="39" t="n">
        <x:v>46152</x:v>
      </x:c>
      <x:c r="H393" s="16" t="str">
        <x:v>05/2026</x:v>
      </x:c>
      <x:c r="I393" s="40" t="n">
        <x:v>0.01</x:v>
      </x:c>
      <x:c r="J393" s="40" t="n">
        <x:v>0.01</x:v>
      </x:c>
      <x:c r="K393" s="16" t="str">
        <x:v>Novo</x:v>
      </x:c>
      <x:c r="L393" s="16" t="str">
        <x:v>Em aberto</x:v>
      </x:c>
      <x:c r="M393" s="16" t="str">
        <x:v>96699cc1-dba9-4b96-aa65-6614545c12b7</x:v>
      </x:c>
      <x:c r="N393" s="41" t="str"/>
    </x:row>
    <x:row r="394">
      <x:c r="A394" s="37" t="str">
        <x:f>"000907"</x:f>
        <x:v>000907</x:v>
      </x:c>
      <x:c r="B394" s="38" t="str">
        <x:f>"0"</x:f>
        <x:v>0</x:v>
      </x:c>
      <x:c r="C394" s="38" t="str">
        <x:v>PEDRO PAULO DOS SANTOS AL.ERTI</x:v>
      </x:c>
      <x:c r="D394" s="38" t="str">
        <x:f>"37479060874"</x:f>
        <x:v>37479060874</x:v>
      </x:c>
      <x:c r="E394" s="38" t="str">
        <x:f>"11992952765"</x:f>
        <x:v>11992952765</x:v>
      </x:c>
      <x:c r="F394" s="38" t="str">
        <x:v>pedropauloalberti@gmail.com</x:v>
      </x:c>
      <x:c r="G394" s="39" t="n">
        <x:v>46183</x:v>
      </x:c>
      <x:c r="H394" s="16" t="str">
        <x:v>06/2026</x:v>
      </x:c>
      <x:c r="I394" s="40" t="n">
        <x:v>722.04</x:v>
      </x:c>
      <x:c r="J394" s="40" t="n">
        <x:v>748.37</x:v>
      </x:c>
      <x:c r="K394" s="16" t="str">
        <x:v>Novo</x:v>
      </x:c>
      <x:c r="L394" s="16" t="str">
        <x:v>Em aberto</x:v>
      </x:c>
      <x:c r="M394" s="16" t="str">
        <x:v>b171ca23-bb78-4f04-be70-88c6963a3e6e</x:v>
      </x:c>
      <x:c r="N394" s="41" t="str"/>
    </x:row>
    <x:row r="395">
      <x:c r="A395" s="37" t="str">
        <x:f>"001102"</x:f>
        <x:v>001102</x:v>
      </x:c>
      <x:c r="B395" s="38" t="str">
        <x:f>"0"</x:f>
        <x:v>0</x:v>
      </x:c>
      <x:c r="C395" s="38" t="str">
        <x:v>WYNSTON BERNARDO DA SILVA CPF: 446.873.908-89 - Locatário(a): FELIPE ANDRADE DOS SANTOS</x:v>
      </x:c>
      <x:c r="D395" s="38" t="str">
        <x:f>"44687390889"</x:f>
        <x:v>44687390889</x:v>
      </x:c>
      <x:c r="E395" s="38" t="str">
        <x:f>"11953821162"</x:f>
        <x:v>11953821162</x:v>
      </x:c>
      <x:c r="F395" s="38" t="str">
        <x:v>a@gmail.com</x:v>
      </x:c>
      <x:c r="G395" s="39" t="n">
        <x:v>46032</x:v>
      </x:c>
      <x:c r="H395" s="16" t="str">
        <x:v>01/2026</x:v>
      </x:c>
      <x:c r="I395" s="40" t="n">
        <x:v>0.01</x:v>
      </x:c>
      <x:c r="J395" s="40" t="n">
        <x:v>0.01</x:v>
      </x:c>
      <x:c r="K395" s="16" t="str">
        <x:v>Novo</x:v>
      </x:c>
      <x:c r="L395" s="16" t="str">
        <x:v>Em aberto</x:v>
      </x:c>
      <x:c r="M395" s="16" t="str">
        <x:v>667c5ee9-97c8-4137-b5c4-115b904810f8</x:v>
      </x:c>
      <x:c r="N395" s="41" t="str"/>
    </x:row>
    <x:row r="396">
      <x:c r="A396" s="37" t="str">
        <x:f>"001102"</x:f>
        <x:v>001102</x:v>
      </x:c>
      <x:c r="B396" s="38" t="str">
        <x:f>"0"</x:f>
        <x:v>0</x:v>
      </x:c>
      <x:c r="C396" s="38" t="str">
        <x:v>WYNSTON BERNARDO DA SILVA CPF: 446.873.908-89 - Locatário(a): FELIPE ANDRADE DOS SANTOS</x:v>
      </x:c>
      <x:c r="D396" s="38" t="str">
        <x:f>"44687390889"</x:f>
        <x:v>44687390889</x:v>
      </x:c>
      <x:c r="E396" s="38" t="str">
        <x:f>"11953821162"</x:f>
        <x:v>11953821162</x:v>
      </x:c>
      <x:c r="F396" s="38" t="str">
        <x:v>a@gmail.com</x:v>
      </x:c>
      <x:c r="G396" s="39" t="n">
        <x:v>46063</x:v>
      </x:c>
      <x:c r="H396" s="16" t="str">
        <x:v>02/2026</x:v>
      </x:c>
      <x:c r="I396" s="40" t="n">
        <x:v>0.01</x:v>
      </x:c>
      <x:c r="J396" s="40" t="n">
        <x:v>0.01</x:v>
      </x:c>
      <x:c r="K396" s="16" t="str">
        <x:v>Novo</x:v>
      </x:c>
      <x:c r="L396" s="16" t="str">
        <x:v>Em aberto</x:v>
      </x:c>
      <x:c r="M396" s="16" t="str">
        <x:v>6b620102-8dd2-4a08-81cd-5283a5ed010d</x:v>
      </x:c>
      <x:c r="N396" s="41" t="str"/>
    </x:row>
    <x:row r="397">
      <x:c r="A397" s="37" t="str">
        <x:f>"001102"</x:f>
        <x:v>001102</x:v>
      </x:c>
      <x:c r="B397" s="38" t="str">
        <x:f>"0"</x:f>
        <x:v>0</x:v>
      </x:c>
      <x:c r="C397" s="38" t="str">
        <x:v>WYNSTON BERNARDO DA SILVA CPF: 446.873.908-89 - Locatário(a): FELIPE ANDRADE DOS SANTOS</x:v>
      </x:c>
      <x:c r="D397" s="38" t="str">
        <x:f>"44687390889"</x:f>
        <x:v>44687390889</x:v>
      </x:c>
      <x:c r="E397" s="38" t="str">
        <x:f>"11953821162"</x:f>
        <x:v>11953821162</x:v>
      </x:c>
      <x:c r="F397" s="38" t="str">
        <x:v>a@gmail.com</x:v>
      </x:c>
      <x:c r="G397" s="39" t="n">
        <x:v>46122</x:v>
      </x:c>
      <x:c r="H397" s="16" t="str">
        <x:v>04/2026</x:v>
      </x:c>
      <x:c r="I397" s="40" t="n">
        <x:v>0.01</x:v>
      </x:c>
      <x:c r="J397" s="40" t="n">
        <x:v>0.01</x:v>
      </x:c>
      <x:c r="K397" s="16" t="str">
        <x:v>Novo</x:v>
      </x:c>
      <x:c r="L397" s="16" t="str">
        <x:v>Em aberto</x:v>
      </x:c>
      <x:c r="M397" s="16" t="str">
        <x:v>25e5c863-0470-4f8d-8eeb-be8b937676a2</x:v>
      </x:c>
      <x:c r="N397" s="41" t="str"/>
    </x:row>
    <x:row r="398">
      <x:c r="A398" s="37" t="str">
        <x:f>"001102"</x:f>
        <x:v>001102</x:v>
      </x:c>
      <x:c r="B398" s="38" t="str">
        <x:f>"0"</x:f>
        <x:v>0</x:v>
      </x:c>
      <x:c r="C398" s="38" t="str">
        <x:v>WYNSTON BERNARDO DA SILVA CPF: 446.873.908-89 - Locatário(a): FELIPE ANDRADE DOS SANTOS</x:v>
      </x:c>
      <x:c r="D398" s="38" t="str">
        <x:f>"44687390889"</x:f>
        <x:v>44687390889</x:v>
      </x:c>
      <x:c r="E398" s="38" t="str">
        <x:f>"11953821162"</x:f>
        <x:v>11953821162</x:v>
      </x:c>
      <x:c r="F398" s="38" t="str">
        <x:v>a@gmail.com</x:v>
      </x:c>
      <x:c r="G398" s="39" t="n">
        <x:v>46152</x:v>
      </x:c>
      <x:c r="H398" s="16" t="str">
        <x:v>05/2026</x:v>
      </x:c>
      <x:c r="I398" s="40" t="n">
        <x:v>0.01</x:v>
      </x:c>
      <x:c r="J398" s="40" t="n">
        <x:v>0.01</x:v>
      </x:c>
      <x:c r="K398" s="16" t="str">
        <x:v>Novo</x:v>
      </x:c>
      <x:c r="L398" s="16" t="str">
        <x:v>Em aberto</x:v>
      </x:c>
      <x:c r="M398" s="16" t="str">
        <x:v>dc7c7380-360d-4cae-8a7f-9721e0904314</x:v>
      </x:c>
      <x:c r="N398" s="41" t="str"/>
    </x:row>
    <x:row r="399">
      <x:c r="A399" s="37" t="str">
        <x:f>"001203"</x:f>
        <x:v>001203</x:v>
      </x:c>
      <x:c r="B399" s="38" t="str">
        <x:f>"0"</x:f>
        <x:v>0</x:v>
      </x:c>
      <x:c r="C399" s="38" t="str">
        <x:v>DAIR APARECIDA DE SOUZA</x:v>
      </x:c>
      <x:c r="D399" s="38" t="str">
        <x:f>"14729714857"</x:f>
        <x:v>14729714857</x:v>
      </x:c>
      <x:c r="E399" s="38" t="str">
        <x:f>"11961273069"</x:f>
        <x:v>11961273069</x:v>
      </x:c>
      <x:c r="F399" s="38" t="str">
        <x:v>a70@gmail.com</x:v>
      </x:c>
      <x:c r="G399" s="39" t="n">
        <x:v>46063</x:v>
      </x:c>
      <x:c r="H399" s="16" t="str">
        <x:v>02/2026</x:v>
      </x:c>
      <x:c r="I399" s="40" t="n">
        <x:v>52.02</x:v>
      </x:c>
      <x:c r="J399" s="40" t="n">
        <x:v>57.63</x:v>
      </x:c>
      <x:c r="K399" s="16" t="str">
        <x:v>Novo</x:v>
      </x:c>
      <x:c r="L399" s="16" t="str">
        <x:v>Em aberto</x:v>
      </x:c>
      <x:c r="M399" s="16" t="str">
        <x:v>e5c1d428-a2a1-4331-ab95-babdaf21cf3a</x:v>
      </x:c>
      <x:c r="N399" s="41" t="str"/>
    </x:row>
    <x:row r="400">
      <x:c r="A400" s="37" t="str">
        <x:f>"001203"</x:f>
        <x:v>001203</x:v>
      </x:c>
      <x:c r="B400" s="38" t="str">
        <x:f>"0"</x:f>
        <x:v>0</x:v>
      </x:c>
      <x:c r="C400" s="38" t="str">
        <x:v>DAIR APARECIDA DE SOUZA</x:v>
      </x:c>
      <x:c r="D400" s="38" t="str">
        <x:f>"14729714857"</x:f>
        <x:v>14729714857</x:v>
      </x:c>
      <x:c r="E400" s="38" t="str">
        <x:f>"11961273069"</x:f>
        <x:v>11961273069</x:v>
      </x:c>
      <x:c r="F400" s="38" t="str">
        <x:v>a70@gmail.com</x:v>
      </x:c>
      <x:c r="G400" s="39" t="n">
        <x:v>46091</x:v>
      </x:c>
      <x:c r="H400" s="16" t="str">
        <x:v>03/2026</x:v>
      </x:c>
      <x:c r="I400" s="40" t="n">
        <x:v>549.02</x:v>
      </x:c>
      <x:c r="J400" s="40" t="n">
        <x:v>597.39</x:v>
      </x:c>
      <x:c r="K400" s="16" t="str">
        <x:v>Novo</x:v>
      </x:c>
      <x:c r="L400" s="16" t="str">
        <x:v>Em aberto</x:v>
      </x:c>
      <x:c r="M400" s="16" t="str">
        <x:v>46f97ace-2664-4305-bd8a-3338a8ea80d3</x:v>
      </x:c>
      <x:c r="N400" s="41" t="str"/>
    </x:row>
    <x:row r="401">
      <x:c r="A401" s="37" t="str">
        <x:f>"001203"</x:f>
        <x:v>001203</x:v>
      </x:c>
      <x:c r="B401" s="38" t="str">
        <x:f>"0"</x:f>
        <x:v>0</x:v>
      </x:c>
      <x:c r="C401" s="38" t="str">
        <x:v>DAIR APARECIDA DE SOUZA</x:v>
      </x:c>
      <x:c r="D401" s="38" t="str">
        <x:f>"14729714857"</x:f>
        <x:v>14729714857</x:v>
      </x:c>
      <x:c r="E401" s="38" t="str">
        <x:f>"11961273069"</x:f>
        <x:v>11961273069</x:v>
      </x:c>
      <x:c r="F401" s="38" t="str">
        <x:v>a70@gmail.com</x:v>
      </x:c>
      <x:c r="G401" s="39" t="n">
        <x:v>46122</x:v>
      </x:c>
      <x:c r="H401" s="16" t="str">
        <x:v>04/2026</x:v>
      </x:c>
      <x:c r="I401" s="40" t="n">
        <x:v>509.9</x:v>
      </x:c>
      <x:c r="J401" s="40" t="n">
        <x:v>547.1</x:v>
      </x:c>
      <x:c r="K401" s="16" t="str">
        <x:v>Novo</x:v>
      </x:c>
      <x:c r="L401" s="16" t="str">
        <x:v>Em aberto</x:v>
      </x:c>
      <x:c r="M401" s="16" t="str">
        <x:v>4d0417e3-5d10-4520-921a-6460b547f776</x:v>
      </x:c>
      <x:c r="N401" s="41" t="str"/>
    </x:row>
    <x:row r="402">
      <x:c r="A402" s="37" t="str">
        <x:f>"001203"</x:f>
        <x:v>001203</x:v>
      </x:c>
      <x:c r="B402" s="38" t="str">
        <x:f>"0"</x:f>
        <x:v>0</x:v>
      </x:c>
      <x:c r="C402" s="38" t="str">
        <x:v>DAIR APARECIDA DE SOUZA</x:v>
      </x:c>
      <x:c r="D402" s="38" t="str">
        <x:f>"14729714857"</x:f>
        <x:v>14729714857</x:v>
      </x:c>
      <x:c r="E402" s="38" t="str">
        <x:f>"11961273069"</x:f>
        <x:v>11961273069</x:v>
      </x:c>
      <x:c r="F402" s="38" t="str">
        <x:v>a70@gmail.com</x:v>
      </x:c>
      <x:c r="G402" s="39" t="n">
        <x:v>46152</x:v>
      </x:c>
      <x:c r="H402" s="16" t="str">
        <x:v>05/2026</x:v>
      </x:c>
      <x:c r="I402" s="40" t="n">
        <x:v>530.29</x:v>
      </x:c>
      <x:c r="J402" s="40" t="n">
        <x:v>558.5</x:v>
      </x:c>
      <x:c r="K402" s="16" t="str">
        <x:v>Novo</x:v>
      </x:c>
      <x:c r="L402" s="16" t="str">
        <x:v>Em aberto</x:v>
      </x:c>
      <x:c r="M402" s="16" t="str">
        <x:v>c511bb4e-db7d-4377-8434-2385bded8567</x:v>
      </x:c>
      <x:c r="N402" s="41" t="str"/>
    </x:row>
    <x:row r="403">
      <x:c r="A403" s="37" t="str">
        <x:f>"001203"</x:f>
        <x:v>001203</x:v>
      </x:c>
      <x:c r="B403" s="38" t="str">
        <x:f>"0"</x:f>
        <x:v>0</x:v>
      </x:c>
      <x:c r="C403" s="38" t="str">
        <x:v>DAIR APARECIDA DE SOUZA</x:v>
      </x:c>
      <x:c r="D403" s="38" t="str">
        <x:f>"14729714857"</x:f>
        <x:v>14729714857</x:v>
      </x:c>
      <x:c r="E403" s="38" t="str">
        <x:f>"11961273069"</x:f>
        <x:v>11961273069</x:v>
      </x:c>
      <x:c r="F403" s="38" t="str">
        <x:v>a70@gmail.com</x:v>
      </x:c>
      <x:c r="G403" s="39" t="n">
        <x:v>46183</x:v>
      </x:c>
      <x:c r="H403" s="16" t="str">
        <x:v>06/2026</x:v>
      </x:c>
      <x:c r="I403" s="40" t="n">
        <x:v>543.03</x:v>
      </x:c>
      <x:c r="J403" s="40" t="n">
        <x:v>562.85</x:v>
      </x:c>
      <x:c r="K403" s="16" t="str">
        <x:v>Novo</x:v>
      </x:c>
      <x:c r="L403" s="16" t="str">
        <x:v>Em aberto</x:v>
      </x:c>
      <x:c r="M403" s="16" t="str">
        <x:v>432b356a-2cb3-4fa4-b3e9-725705080405</x:v>
      </x:c>
      <x:c r="N403" s="41" t="str"/>
    </x:row>
    <x:row r="404">
      <x:c r="A404" s="37" t="str">
        <x:f>"001208"</x:f>
        <x:v>001208</x:v>
      </x:c>
      <x:c r="B404" s="38" t="str">
        <x:f>"0"</x:f>
        <x:v>0</x:v>
      </x:c>
      <x:c r="C404" s="38" t="str">
        <x:v>MARCIEL DA SILVA PEREIRA</x:v>
      </x:c>
      <x:c r="D404" s="38" t="str">
        <x:f>"44308295866"</x:f>
        <x:v>44308295866</x:v>
      </x:c>
      <x:c r="E404" s="38" t="str">
        <x:f>"11999271936"</x:f>
        <x:v>11999271936</x:v>
      </x:c>
      <x:c r="F404" s="38" t="str">
        <x:v>marciel.9504@icloud.com</x:v>
      </x:c>
      <x:c r="G404" s="39" t="n">
        <x:v>46032</x:v>
      </x:c>
      <x:c r="H404" s="16" t="str">
        <x:v>01/2026</x:v>
      </x:c>
      <x:c r="I404" s="40" t="n">
        <x:v>543.6</x:v>
      </x:c>
      <x:c r="J404" s="40" t="n">
        <x:v>609.15</x:v>
      </x:c>
      <x:c r="K404" s="16" t="str">
        <x:v>Novo</x:v>
      </x:c>
      <x:c r="L404" s="16" t="str">
        <x:v>Em aberto</x:v>
      </x:c>
      <x:c r="M404" s="16" t="str">
        <x:v>c902dd1c-a329-4701-9e60-1ef6fe9210d2</x:v>
      </x:c>
      <x:c r="N404" s="41" t="str"/>
    </x:row>
    <x:row r="405">
      <x:c r="A405" s="37" t="str">
        <x:f>"001208"</x:f>
        <x:v>001208</x:v>
      </x:c>
      <x:c r="B405" s="38" t="str">
        <x:f>"0"</x:f>
        <x:v>0</x:v>
      </x:c>
      <x:c r="C405" s="38" t="str">
        <x:v>MARCIEL DA SILVA PEREIRA</x:v>
      </x:c>
      <x:c r="D405" s="38" t="str">
        <x:f>"44308295866"</x:f>
        <x:v>44308295866</x:v>
      </x:c>
      <x:c r="E405" s="38" t="str">
        <x:f>"11999271936"</x:f>
        <x:v>11999271936</x:v>
      </x:c>
      <x:c r="F405" s="38" t="str">
        <x:v>marciel.9504@icloud.com</x:v>
      </x:c>
      <x:c r="G405" s="39" t="n">
        <x:v>46063</x:v>
      </x:c>
      <x:c r="H405" s="16" t="str">
        <x:v>02/2026</x:v>
      </x:c>
      <x:c r="I405" s="40" t="n">
        <x:v>529.43</x:v>
      </x:c>
      <x:c r="J405" s="40" t="n">
        <x:v>586.52</x:v>
      </x:c>
      <x:c r="K405" s="16" t="str">
        <x:v>Novo</x:v>
      </x:c>
      <x:c r="L405" s="16" t="str">
        <x:v>Em aberto</x:v>
      </x:c>
      <x:c r="M405" s="16" t="str">
        <x:v>872fdcdb-3869-4d8f-858b-e6354ee02cf9</x:v>
      </x:c>
      <x:c r="N405" s="41" t="str"/>
    </x:row>
    <x:row r="406">
      <x:c r="A406" s="37" t="str">
        <x:f>"001208"</x:f>
        <x:v>001208</x:v>
      </x:c>
      <x:c r="B406" s="38" t="str">
        <x:f>"0"</x:f>
        <x:v>0</x:v>
      </x:c>
      <x:c r="C406" s="38" t="str">
        <x:v>MARCIEL DA SILVA PEREIRA</x:v>
      </x:c>
      <x:c r="D406" s="38" t="str">
        <x:f>"44308295866"</x:f>
        <x:v>44308295866</x:v>
      </x:c>
      <x:c r="E406" s="38" t="str">
        <x:f>"11999271936"</x:f>
        <x:v>11999271936</x:v>
      </x:c>
      <x:c r="F406" s="38" t="str">
        <x:v>marciel.9504@icloud.com</x:v>
      </x:c>
      <x:c r="G406" s="39" t="n">
        <x:v>46091</x:v>
      </x:c>
      <x:c r="H406" s="16" t="str">
        <x:v>03/2026</x:v>
      </x:c>
      <x:c r="I406" s="40" t="n">
        <x:v>549.02</x:v>
      </x:c>
      <x:c r="J406" s="40" t="n">
        <x:v>597.39</x:v>
      </x:c>
      <x:c r="K406" s="16" t="str">
        <x:v>Novo</x:v>
      </x:c>
      <x:c r="L406" s="16" t="str">
        <x:v>Em aberto</x:v>
      </x:c>
      <x:c r="M406" s="16" t="str">
        <x:v>93c154a3-1902-461c-b914-75974ad0780b</x:v>
      </x:c>
      <x:c r="N406" s="41" t="str"/>
    </x:row>
    <x:row r="407">
      <x:c r="A407" s="37" t="str">
        <x:f>"001208"</x:f>
        <x:v>001208</x:v>
      </x:c>
      <x:c r="B407" s="38" t="str">
        <x:f>"0"</x:f>
        <x:v>0</x:v>
      </x:c>
      <x:c r="C407" s="38" t="str">
        <x:v>MARCIEL DA SILVA PEREIRA</x:v>
      </x:c>
      <x:c r="D407" s="38" t="str">
        <x:f>"44308295866"</x:f>
        <x:v>44308295866</x:v>
      </x:c>
      <x:c r="E407" s="38" t="str">
        <x:f>"11999271936"</x:f>
        <x:v>11999271936</x:v>
      </x:c>
      <x:c r="F407" s="38" t="str">
        <x:v>marciel.9504@icloud.com</x:v>
      </x:c>
      <x:c r="G407" s="39" t="n">
        <x:v>46122</x:v>
      </x:c>
      <x:c r="H407" s="16" t="str">
        <x:v>04/2026</x:v>
      </x:c>
      <x:c r="I407" s="40" t="n">
        <x:v>509.9</x:v>
      </x:c>
      <x:c r="J407" s="40" t="n">
        <x:v>547.1</x:v>
      </x:c>
      <x:c r="K407" s="16" t="str">
        <x:v>Novo</x:v>
      </x:c>
      <x:c r="L407" s="16" t="str">
        <x:v>Em aberto</x:v>
      </x:c>
      <x:c r="M407" s="16" t="str">
        <x:v>3f9b58ea-cdc3-46a4-919d-f053fa44c5c8</x:v>
      </x:c>
      <x:c r="N407" s="41" t="str"/>
    </x:row>
    <x:row r="408">
      <x:c r="A408" s="37" t="str">
        <x:f>"001208"</x:f>
        <x:v>001208</x:v>
      </x:c>
      <x:c r="B408" s="38" t="str">
        <x:f>"0"</x:f>
        <x:v>0</x:v>
      </x:c>
      <x:c r="C408" s="38" t="str">
        <x:v>MARCIEL DA SILVA PEREIRA</x:v>
      </x:c>
      <x:c r="D408" s="38" t="str">
        <x:f>"44308295866"</x:f>
        <x:v>44308295866</x:v>
      </x:c>
      <x:c r="E408" s="38" t="str">
        <x:f>"11999271936"</x:f>
        <x:v>11999271936</x:v>
      </x:c>
      <x:c r="F408" s="38" t="str">
        <x:v>marciel.9504@icloud.com</x:v>
      </x:c>
      <x:c r="G408" s="39" t="n">
        <x:v>46152</x:v>
      </x:c>
      <x:c r="H408" s="16" t="str">
        <x:v>05/2026</x:v>
      </x:c>
      <x:c r="I408" s="40" t="n">
        <x:v>530.29</x:v>
      </x:c>
      <x:c r="J408" s="40" t="n">
        <x:v>558.5</x:v>
      </x:c>
      <x:c r="K408" s="16" t="str">
        <x:v>Novo</x:v>
      </x:c>
      <x:c r="L408" s="16" t="str">
        <x:v>Em aberto</x:v>
      </x:c>
      <x:c r="M408" s="16" t="str">
        <x:v>17ae3ff4-91b2-44a0-965a-ddbdfc7ad4d7</x:v>
      </x:c>
      <x:c r="N408" s="41" t="str"/>
    </x:row>
    <x:row r="409">
      <x:c r="A409" s="37" t="str">
        <x:f>"001208"</x:f>
        <x:v>001208</x:v>
      </x:c>
      <x:c r="B409" s="38" t="str">
        <x:f>"0"</x:f>
        <x:v>0</x:v>
      </x:c>
      <x:c r="C409" s="38" t="str">
        <x:v>MARCIEL DA SILVA PEREIRA</x:v>
      </x:c>
      <x:c r="D409" s="38" t="str">
        <x:f>"44308295866"</x:f>
        <x:v>44308295866</x:v>
      </x:c>
      <x:c r="E409" s="38" t="str">
        <x:f>"11999271936"</x:f>
        <x:v>11999271936</x:v>
      </x:c>
      <x:c r="F409" s="38" t="str">
        <x:v>marciel.9504@icloud.com</x:v>
      </x:c>
      <x:c r="G409" s="39" t="n">
        <x:v>46183</x:v>
      </x:c>
      <x:c r="H409" s="16" t="str">
        <x:v>06/2026</x:v>
      </x:c>
      <x:c r="I409" s="40" t="n">
        <x:v>543.03</x:v>
      </x:c>
      <x:c r="J409" s="40" t="n">
        <x:v>562.85</x:v>
      </x:c>
      <x:c r="K409" s="16" t="str">
        <x:v>Novo</x:v>
      </x:c>
      <x:c r="L409" s="16" t="str">
        <x:v>Em aberto</x:v>
      </x:c>
      <x:c r="M409" s="16" t="str">
        <x:v>173f88ac-d7eb-42b7-8e2d-f6562a6d7152</x:v>
      </x:c>
      <x:c r="N409" s="41" t="str"/>
    </x:row>
    <x:row r="410">
      <x:c r="A410" s="37" t="str">
        <x:f>"001209"</x:f>
        <x:v>001209</x:v>
      </x:c>
      <x:c r="B410" s="38" t="str">
        <x:f>"0"</x:f>
        <x:v>0</x:v>
      </x:c>
      <x:c r="C410" s="38" t="str">
        <x:v>MARIA ANGELA EGER MEDINA</x:v>
      </x:c>
      <x:c r="D410" s="38" t="str">
        <x:f>"13546882873"</x:f>
        <x:v>13546882873</x:v>
      </x:c>
      <x:c r="E410" s="38" t="str">
        <x:f>"11996179528"</x:f>
        <x:v>11996179528</x:v>
      </x:c>
      <x:c r="F410" s="38" t="str">
        <x:v>egermedina@hotmail.com</x:v>
      </x:c>
      <x:c r="G410" s="39" t="n">
        <x:v>46032</x:v>
      </x:c>
      <x:c r="H410" s="16" t="str">
        <x:v>01/2026</x:v>
      </x:c>
      <x:c r="I410" s="40" t="n">
        <x:v>543.6</x:v>
      </x:c>
      <x:c r="J410" s="40" t="n">
        <x:v>609.15</x:v>
      </x:c>
      <x:c r="K410" s="16" t="str">
        <x:v>Novo</x:v>
      </x:c>
      <x:c r="L410" s="16" t="str">
        <x:v>Em aberto</x:v>
      </x:c>
      <x:c r="M410" s="16" t="str">
        <x:v>ad3bef87-727a-4565-8a8c-0ed0712ed2d4</x:v>
      </x:c>
      <x:c r="N410" s="41" t="str"/>
    </x:row>
    <x:row r="411">
      <x:c r="A411" s="37" t="str">
        <x:f>"001209"</x:f>
        <x:v>001209</x:v>
      </x:c>
      <x:c r="B411" s="38" t="str">
        <x:f>"0"</x:f>
        <x:v>0</x:v>
      </x:c>
      <x:c r="C411" s="38" t="str">
        <x:v>MARIA ANGELA EGER MEDINA</x:v>
      </x:c>
      <x:c r="D411" s="38" t="str">
        <x:f>"13546882873"</x:f>
        <x:v>13546882873</x:v>
      </x:c>
      <x:c r="E411" s="38" t="str">
        <x:f>"11996179528"</x:f>
        <x:v>11996179528</x:v>
      </x:c>
      <x:c r="F411" s="38" t="str">
        <x:v>egermedina@hotmail.com</x:v>
      </x:c>
      <x:c r="G411" s="39" t="n">
        <x:v>46063</x:v>
      </x:c>
      <x:c r="H411" s="16" t="str">
        <x:v>02/2026</x:v>
      </x:c>
      <x:c r="I411" s="40" t="n">
        <x:v>529.43</x:v>
      </x:c>
      <x:c r="J411" s="40" t="n">
        <x:v>586.52</x:v>
      </x:c>
      <x:c r="K411" s="16" t="str">
        <x:v>Novo</x:v>
      </x:c>
      <x:c r="L411" s="16" t="str">
        <x:v>Em aberto</x:v>
      </x:c>
      <x:c r="M411" s="16" t="str">
        <x:v>7834e609-cdcf-4a41-96a1-4d02a728f547</x:v>
      </x:c>
      <x:c r="N411" s="41" t="str"/>
    </x:row>
    <x:row r="412">
      <x:c r="A412" s="37" t="str">
        <x:f>"001209"</x:f>
        <x:v>001209</x:v>
      </x:c>
      <x:c r="B412" s="38" t="str">
        <x:f>"0"</x:f>
        <x:v>0</x:v>
      </x:c>
      <x:c r="C412" s="38" t="str">
        <x:v>MARIA ANGELA EGER MEDINA</x:v>
      </x:c>
      <x:c r="D412" s="38" t="str">
        <x:f>"13546882873"</x:f>
        <x:v>13546882873</x:v>
      </x:c>
      <x:c r="E412" s="38" t="str">
        <x:f>"11996179528"</x:f>
        <x:v>11996179528</x:v>
      </x:c>
      <x:c r="F412" s="38" t="str">
        <x:v>egermedina@hotmail.com</x:v>
      </x:c>
      <x:c r="G412" s="39" t="n">
        <x:v>46122</x:v>
      </x:c>
      <x:c r="H412" s="16" t="str">
        <x:v>04/2026</x:v>
      </x:c>
      <x:c r="I412" s="40" t="n">
        <x:v>509.9</x:v>
      </x:c>
      <x:c r="J412" s="40" t="n">
        <x:v>547.1</x:v>
      </x:c>
      <x:c r="K412" s="16" t="str">
        <x:v>Novo</x:v>
      </x:c>
      <x:c r="L412" s="16" t="str">
        <x:v>Em aberto</x:v>
      </x:c>
      <x:c r="M412" s="16" t="str">
        <x:v>c5805279-0964-4b02-9e74-583084ff93ff</x:v>
      </x:c>
      <x:c r="N412" s="41" t="str"/>
    </x:row>
    <x:row r="413">
      <x:c r="A413" s="37" t="str">
        <x:f>"001209"</x:f>
        <x:v>001209</x:v>
      </x:c>
      <x:c r="B413" s="38" t="str">
        <x:f>"0"</x:f>
        <x:v>0</x:v>
      </x:c>
      <x:c r="C413" s="38" t="str">
        <x:v>MARIA ANGELA EGER MEDINA</x:v>
      </x:c>
      <x:c r="D413" s="38" t="str">
        <x:f>"13546882873"</x:f>
        <x:v>13546882873</x:v>
      </x:c>
      <x:c r="E413" s="38" t="str">
        <x:f>"11996179528"</x:f>
        <x:v>11996179528</x:v>
      </x:c>
      <x:c r="F413" s="38" t="str">
        <x:v>egermedina@hotmail.com</x:v>
      </x:c>
      <x:c r="G413" s="39" t="n">
        <x:v>46183</x:v>
      </x:c>
      <x:c r="H413" s="16" t="str">
        <x:v>06/2026</x:v>
      </x:c>
      <x:c r="I413" s="40" t="n">
        <x:v>543.03</x:v>
      </x:c>
      <x:c r="J413" s="40" t="n">
        <x:v>562.85</x:v>
      </x:c>
      <x:c r="K413" s="16" t="str">
        <x:v>Novo</x:v>
      </x:c>
      <x:c r="L413" s="16" t="str">
        <x:v>Em aberto</x:v>
      </x:c>
      <x:c r="M413" s="16" t="str">
        <x:v>6d5ae141-bfaa-4cab-a950-7a6f2fa8f678</x:v>
      </x:c>
      <x:c r="N413" s="41" t="str"/>
    </x:row>
    <x:row r="414">
      <x:c r="A414" s="37" t="str">
        <x:f>"001412"</x:f>
        <x:v>001412</x:v>
      </x:c>
      <x:c r="B414" s="38" t="str">
        <x:f>"0"</x:f>
        <x:v>0</x:v>
      </x:c>
      <x:c r="C414" s="38" t="str">
        <x:v>RAFAEL DOS SANTOS LIMA</x:v>
      </x:c>
      <x:c r="D414" s="38" t="str">
        <x:f>""</x:f>
      </x:c>
      <x:c r="E414" s="38" t="str">
        <x:f>""</x:f>
      </x:c>
      <x:c r="F414" s="38" t="str"/>
      <x:c r="G414" s="39" t="n">
        <x:v>46152</x:v>
      </x:c>
      <x:c r="H414" s="16" t="str">
        <x:v>05/2026</x:v>
      </x:c>
      <x:c r="I414" s="40" t="n">
        <x:v>0.01</x:v>
      </x:c>
      <x:c r="J414" s="40" t="n">
        <x:v>0.01</x:v>
      </x:c>
      <x:c r="K414" s="16" t="str">
        <x:v>Novo</x:v>
      </x:c>
      <x:c r="L414" s="16" t="str">
        <x:v>Em aberto</x:v>
      </x:c>
      <x:c r="M414" s="16" t="str">
        <x:v>6eff4d92-49bc-47ea-a69e-e8357de4e510</x:v>
      </x:c>
      <x:c r="N414" s="41" t="str"/>
    </x:row>
    <x:row r="415">
      <x:c r="A415" s="37" t="str">
        <x:f>"001412"</x:f>
        <x:v>001412</x:v>
      </x:c>
      <x:c r="B415" s="38" t="str">
        <x:f>"0"</x:f>
        <x:v>0</x:v>
      </x:c>
      <x:c r="C415" s="38" t="str">
        <x:v>RAFAEL DOS SANTOS LIMA</x:v>
      </x:c>
      <x:c r="D415" s="38" t="str">
        <x:f>""</x:f>
      </x:c>
      <x:c r="E415" s="38" t="str">
        <x:f>""</x:f>
      </x:c>
      <x:c r="F415" s="38" t="str"/>
      <x:c r="G415" s="39" t="n">
        <x:v>46183</x:v>
      </x:c>
      <x:c r="H415" s="16" t="str">
        <x:v>06/2026</x:v>
      </x:c>
      <x:c r="I415" s="40" t="n">
        <x:v>0.01</x:v>
      </x:c>
      <x:c r="J415" s="40" t="n">
        <x:v>0.01</x:v>
      </x:c>
      <x:c r="K415" s="16" t="str">
        <x:v>Novo</x:v>
      </x:c>
      <x:c r="L415" s="16" t="str">
        <x:v>Em aberto</x:v>
      </x:c>
      <x:c r="M415" s="16" t="str">
        <x:v>802e2590-4f7e-4e33-b664-f3de165aeea5</x:v>
      </x:c>
      <x:c r="N415" s="41" t="str"/>
    </x:row>
    <x:row r="416">
      <x:c r="A416" s="37" t="str">
        <x:f>"001503"</x:f>
        <x:v>001503</x:v>
      </x:c>
      <x:c r="B416" s="38" t="str">
        <x:f>"0"</x:f>
        <x:v>0</x:v>
      </x:c>
      <x:c r="C416" s="38" t="str">
        <x:v>ROMARIO GUILHERME DOS SANTOS</x:v>
      </x:c>
      <x:c r="D416" s="38" t="str">
        <x:f>""</x:f>
      </x:c>
      <x:c r="E416" s="38" t="str">
        <x:f>""</x:f>
      </x:c>
      <x:c r="F416" s="38" t="str"/>
      <x:c r="G416" s="39" t="n">
        <x:v>46152</x:v>
      </x:c>
      <x:c r="H416" s="16" t="str">
        <x:v>05/2026</x:v>
      </x:c>
      <x:c r="I416" s="40" t="n">
        <x:v>0.01</x:v>
      </x:c>
      <x:c r="J416" s="40" t="n">
        <x:v>0.01</x:v>
      </x:c>
      <x:c r="K416" s="16" t="str">
        <x:v>Novo</x:v>
      </x:c>
      <x:c r="L416" s="16" t="str">
        <x:v>Em aberto</x:v>
      </x:c>
      <x:c r="M416" s="16" t="str">
        <x:v>cd744f4e-ed1d-4085-9478-75688c38943d</x:v>
      </x:c>
      <x:c r="N416" s="41" t="str"/>
    </x:row>
    <x:row r="417">
      <x:c r="A417" s="37" t="str">
        <x:f>"001603"</x:f>
        <x:v>001603</x:v>
      </x:c>
      <x:c r="B417" s="38" t="str">
        <x:f>"0"</x:f>
        <x:v>0</x:v>
      </x:c>
      <x:c r="C417" s="38" t="str">
        <x:v>JULIANA MELO CHAVES</x:v>
      </x:c>
      <x:c r="D417" s="38" t="str">
        <x:f>""</x:f>
      </x:c>
      <x:c r="E417" s="38" t="str">
        <x:f>""</x:f>
      </x:c>
      <x:c r="F417" s="38" t="str"/>
      <x:c r="G417" s="39" t="n">
        <x:v>46032</x:v>
      </x:c>
      <x:c r="H417" s="16" t="str">
        <x:v>01/2026</x:v>
      </x:c>
      <x:c r="I417" s="40" t="n">
        <x:v>0.01</x:v>
      </x:c>
      <x:c r="J417" s="40" t="n">
        <x:v>0.01</x:v>
      </x:c>
      <x:c r="K417" s="16" t="str">
        <x:v>Novo</x:v>
      </x:c>
      <x:c r="L417" s="16" t="str">
        <x:v>Em aberto</x:v>
      </x:c>
      <x:c r="M417" s="16" t="str">
        <x:v>05da67a4-3ce2-4c33-918d-351863f71603</x:v>
      </x:c>
      <x:c r="N417" s="41" t="str"/>
    </x:row>
    <x:row r="418">
      <x:c r="A418" s="37" t="str">
        <x:f>"001603"</x:f>
        <x:v>001603</x:v>
      </x:c>
      <x:c r="B418" s="38" t="str">
        <x:f>"0"</x:f>
        <x:v>0</x:v>
      </x:c>
      <x:c r="C418" s="38" t="str">
        <x:v>JULIANA MELO CHAVES</x:v>
      </x:c>
      <x:c r="D418" s="38" t="str">
        <x:f>""</x:f>
      </x:c>
      <x:c r="E418" s="38" t="str">
        <x:f>""</x:f>
      </x:c>
      <x:c r="F418" s="38" t="str"/>
      <x:c r="G418" s="39" t="n">
        <x:v>46063</x:v>
      </x:c>
      <x:c r="H418" s="16" t="str">
        <x:v>02/2026</x:v>
      </x:c>
      <x:c r="I418" s="40" t="n">
        <x:v>0.01</x:v>
      </x:c>
      <x:c r="J418" s="40" t="n">
        <x:v>0.01</x:v>
      </x:c>
      <x:c r="K418" s="16" t="str">
        <x:v>Novo</x:v>
      </x:c>
      <x:c r="L418" s="16" t="str">
        <x:v>Em aberto</x:v>
      </x:c>
      <x:c r="M418" s="16" t="str">
        <x:v>b311bd6a-1930-41e4-afbd-5536aa1692ba</x:v>
      </x:c>
      <x:c r="N418" s="41" t="str"/>
    </x:row>
    <x:row r="419">
      <x:c r="A419" s="37" t="str">
        <x:f>"001603"</x:f>
        <x:v>001603</x:v>
      </x:c>
      <x:c r="B419" s="38" t="str">
        <x:f>"0"</x:f>
        <x:v>0</x:v>
      </x:c>
      <x:c r="C419" s="38" t="str">
        <x:v>JULIANA MELO CHAVES</x:v>
      </x:c>
      <x:c r="D419" s="38" t="str">
        <x:f>""</x:f>
      </x:c>
      <x:c r="E419" s="38" t="str">
        <x:f>""</x:f>
      </x:c>
      <x:c r="F419" s="38" t="str"/>
      <x:c r="G419" s="39" t="n">
        <x:v>46091</x:v>
      </x:c>
      <x:c r="H419" s="16" t="str">
        <x:v>03/2026</x:v>
      </x:c>
      <x:c r="I419" s="40" t="n">
        <x:v>0.01</x:v>
      </x:c>
      <x:c r="J419" s="40" t="n">
        <x:v>0.01</x:v>
      </x:c>
      <x:c r="K419" s="16" t="str">
        <x:v>Novo</x:v>
      </x:c>
      <x:c r="L419" s="16" t="str">
        <x:v>Em aberto</x:v>
      </x:c>
      <x:c r="M419" s="16" t="str">
        <x:v>dcfe99c5-e7c7-4047-8870-ca127936c97c</x:v>
      </x:c>
      <x:c r="N419" s="41" t="str"/>
    </x:row>
    <x:row r="420">
      <x:c r="A420" s="37" t="str">
        <x:f>"001603"</x:f>
        <x:v>001603</x:v>
      </x:c>
      <x:c r="B420" s="38" t="str">
        <x:f>"0"</x:f>
        <x:v>0</x:v>
      </x:c>
      <x:c r="C420" s="38" t="str">
        <x:v>JULIANA MELO CHAVES</x:v>
      </x:c>
      <x:c r="D420" s="38" t="str">
        <x:f>""</x:f>
      </x:c>
      <x:c r="E420" s="38" t="str">
        <x:f>""</x:f>
      </x:c>
      <x:c r="F420" s="38" t="str"/>
      <x:c r="G420" s="39" t="n">
        <x:v>46122</x:v>
      </x:c>
      <x:c r="H420" s="16" t="str">
        <x:v>04/2026</x:v>
      </x:c>
      <x:c r="I420" s="40" t="n">
        <x:v>0.01</x:v>
      </x:c>
      <x:c r="J420" s="40" t="n">
        <x:v>0.01</x:v>
      </x:c>
      <x:c r="K420" s="16" t="str">
        <x:v>Novo</x:v>
      </x:c>
      <x:c r="L420" s="16" t="str">
        <x:v>Em aberto</x:v>
      </x:c>
      <x:c r="M420" s="16" t="str">
        <x:v>50d2a60f-e9d0-49e1-be96-0ee434633ea9</x:v>
      </x:c>
      <x:c r="N420" s="41" t="str"/>
    </x:row>
    <x:row r="421">
      <x:c r="A421" s="37" t="str">
        <x:f>"001603"</x:f>
        <x:v>001603</x:v>
      </x:c>
      <x:c r="B421" s="38" t="str">
        <x:f>"0"</x:f>
        <x:v>0</x:v>
      </x:c>
      <x:c r="C421" s="38" t="str">
        <x:v>JULIANA MELO CHAVES</x:v>
      </x:c>
      <x:c r="D421" s="38" t="str">
        <x:f>""</x:f>
      </x:c>
      <x:c r="E421" s="38" t="str">
        <x:f>""</x:f>
      </x:c>
      <x:c r="F421" s="38" t="str"/>
      <x:c r="G421" s="39" t="n">
        <x:v>46152</x:v>
      </x:c>
      <x:c r="H421" s="16" t="str">
        <x:v>05/2026</x:v>
      </x:c>
      <x:c r="I421" s="40" t="n">
        <x:v>0.01</x:v>
      </x:c>
      <x:c r="J421" s="40" t="n">
        <x:v>0.01</x:v>
      </x:c>
      <x:c r="K421" s="16" t="str">
        <x:v>Novo</x:v>
      </x:c>
      <x:c r="L421" s="16" t="str">
        <x:v>Em aberto</x:v>
      </x:c>
      <x:c r="M421" s="16" t="str">
        <x:v>1cd938fc-9d02-4087-963f-7e1c25110b01</x:v>
      </x:c>
      <x:c r="N421" s="41" t="str"/>
    </x:row>
    <x:row r="422">
      <x:c r="A422" s="42" t="str">
        <x:f>"001603"</x:f>
        <x:v>001603</x:v>
      </x:c>
      <x:c r="B422" s="43" t="str">
        <x:f>"0"</x:f>
        <x:v>0</x:v>
      </x:c>
      <x:c r="C422" s="43" t="str">
        <x:v>JULIANA MELO CHAVES</x:v>
      </x:c>
      <x:c r="D422" s="43" t="str">
        <x:f>""</x:f>
      </x:c>
      <x:c r="E422" s="43" t="str">
        <x:f>""</x:f>
      </x:c>
      <x:c r="F422" s="43" t="str"/>
      <x:c r="G422" s="44" t="n">
        <x:v>46183</x:v>
      </x:c>
      <x:c r="H422" s="20" t="str">
        <x:v>06/2026</x:v>
      </x:c>
      <x:c r="I422" s="45" t="n">
        <x:v>0.01</x:v>
      </x:c>
      <x:c r="J422" s="45" t="n">
        <x:v>0.01</x:v>
      </x:c>
      <x:c r="K422" s="20" t="str">
        <x:v>Novo</x:v>
      </x:c>
      <x:c r="L422" s="20" t="str">
        <x:v>Em aberto</x:v>
      </x:c>
      <x:c r="M422" s="20" t="str">
        <x:v>ff1fa9ff-38ae-4ad5-8604-8c2b55e0e30a</x:v>
      </x:c>
      <x:c r="N422" s="46" t="str"/>
    </x:row>
    <x:row r="423">
      <x:c r="A423" s="47" t="str">
        <x:v>Subtotal</x:v>
      </x:c>
      <x:c r="B423" s="47" t="str"/>
      <x:c r="C423" s="47" t="str"/>
      <x:c r="D423" s="47" t="str"/>
      <x:c r="E423" s="47" t="str"/>
      <x:c r="F423" s="47" t="str"/>
      <x:c r="G423" s="47" t="str"/>
      <x:c r="H423" s="47" t="str"/>
      <x:c r="I423" s="47" t="str"/>
      <x:c r="J423" s="48" t="n">
        <x:v>17548.44</x:v>
      </x:c>
      <x:c r="K423" s="47" t="str">
        <x:v>97 novas</x:v>
      </x:c>
      <x:c r="L423" s="47" t="str">
        <x:v>0 ativas</x:v>
      </x:c>
      <x:c r="M423" s="47" t="str"/>
      <x:c r="N423" s="47" t="str"/>
    </x:row>
    <x:row r="425">
      <x:c r="A425" s="26" t="str">
        <x:v>EDIFÍCIO MOEMA FLAT SERVICE</x:v>
      </x:c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</x:row>
    <x:row r="426">
      <x:c r="A426" s="28" t="str">
        <x:v>CNPJ</x:v>
      </x:c>
      <x:c r="B426" s="28" t="str">
        <x:v>04.632.843/0001-61</x:v>
      </x:c>
      <x:c r="C426" s="28"/>
      <x:c r="D426" s="28" t="str">
        <x:v>Dia de vencimento</x:v>
      </x:c>
      <x:c r="E426" s="28" t="n">
        <x:v>10</x:v>
      </x:c>
      <x:c r="F426" s="28" t="str">
        <x:v>Régua</x:v>
      </x:c>
      <x:c r="G426" s="28" t="str">
        <x:v>D+30</x:v>
      </x:c>
      <x:c r="H426" s="28"/>
      <x:c r="I426" s="28"/>
      <x:c r="J426" s="28"/>
      <x:c r="K426" s="28"/>
      <x:c r="L426" s="28"/>
      <x:c r="M426" s="28"/>
      <x:c r="N426" s="28"/>
    </x:row>
    <x:row r="427">
      <x:c r="A427" s="9" t="str">
        <x:v>Unidade</x:v>
      </x:c>
      <x:c r="B427" s="9" t="str">
        <x:v>Bloco</x:v>
      </x:c>
      <x:c r="C427" s="9" t="str">
        <x:v>Responsável</x:v>
      </x:c>
      <x:c r="D427" s="9" t="str">
        <x:v>Documento</x:v>
      </x:c>
      <x:c r="E427" s="9" t="str">
        <x:v>Telefone</x:v>
      </x:c>
      <x:c r="F427" s="9" t="str">
        <x:v>E-mail</x:v>
      </x:c>
      <x:c r="G427" s="9" t="str">
        <x:v>Vencimento</x:v>
      </x:c>
      <x:c r="H427" s="9" t="str">
        <x:v>Competência</x:v>
      </x:c>
      <x:c r="I427" s="9" t="str">
        <x:v>Valor original</x:v>
      </x:c>
      <x:c r="J427" s="9" t="str">
        <x:v>Valor atualizado</x:v>
      </x:c>
      <x:c r="K427" s="9" t="str">
        <x:v>Status operacional</x:v>
      </x:c>
      <x:c r="L427" s="9" t="str">
        <x:v>Status financeiro</x:v>
      </x:c>
      <x:c r="M427" s="9" t="str">
        <x:v>ID cobrança</x:v>
      </x:c>
      <x:c r="N427" s="9" t="str">
        <x:v>Observação</x:v>
      </x:c>
    </x:row>
    <x:row r="428">
      <x:c r="A428" s="31" t="str">
        <x:f>"0703"</x:f>
        <x:v>0703</x:v>
      </x:c>
      <x:c r="B428" s="32" t="str">
        <x:f>"0"</x:f>
        <x:v>0</x:v>
      </x:c>
      <x:c r="C428" s="32" t="str">
        <x:v>Claudia Mascarello Assmann</x:v>
      </x:c>
      <x:c r="D428" s="32" t="str">
        <x:f>""</x:f>
      </x:c>
      <x:c r="E428" s="32" t="str">
        <x:f>""</x:f>
      </x:c>
      <x:c r="F428" s="32" t="str"/>
      <x:c r="G428" s="33" t="n">
        <x:v>46032</x:v>
      </x:c>
      <x:c r="H428" s="34" t="str">
        <x:v>01/2026</x:v>
      </x:c>
      <x:c r="I428" s="35" t="n">
        <x:v>1771.17</x:v>
      </x:c>
      <x:c r="J428" s="35" t="n">
        <x:v>1915.05</x:v>
      </x:c>
      <x:c r="K428" s="34" t="str">
        <x:v>Novo</x:v>
      </x:c>
      <x:c r="L428" s="34" t="str">
        <x:v>Em aberto</x:v>
      </x:c>
      <x:c r="M428" s="34" t="str">
        <x:v>dd7949a6-f655-4033-bf49-982743c67621</x:v>
      </x:c>
      <x:c r="N428" s="36" t="str"/>
    </x:row>
    <x:row r="429">
      <x:c r="A429" s="37" t="str">
        <x:f>"0703"</x:f>
        <x:v>0703</x:v>
      </x:c>
      <x:c r="B429" s="38" t="str">
        <x:f>"0"</x:f>
        <x:v>0</x:v>
      </x:c>
      <x:c r="C429" s="38" t="str">
        <x:v>Claudia Mascarello Assmann</x:v>
      </x:c>
      <x:c r="D429" s="38" t="str">
        <x:f>""</x:f>
      </x:c>
      <x:c r="E429" s="38" t="str">
        <x:f>""</x:f>
      </x:c>
      <x:c r="F429" s="38" t="str"/>
      <x:c r="G429" s="39" t="n">
        <x:v>46091</x:v>
      </x:c>
      <x:c r="H429" s="16" t="str">
        <x:v>03/2026</x:v>
      </x:c>
      <x:c r="I429" s="40" t="n">
        <x:v>1770.8</x:v>
      </x:c>
      <x:c r="J429" s="40" t="n">
        <x:v>1880.46</x:v>
      </x:c>
      <x:c r="K429" s="16" t="str">
        <x:v>Novo</x:v>
      </x:c>
      <x:c r="L429" s="16" t="str">
        <x:v>Em aberto</x:v>
      </x:c>
      <x:c r="M429" s="16" t="str">
        <x:v>e61f6be4-20fc-44fb-a777-3c5cbf855db3</x:v>
      </x:c>
      <x:c r="N429" s="41" t="str"/>
    </x:row>
    <x:row r="430">
      <x:c r="A430" s="37" t="str">
        <x:f>"0703"</x:f>
        <x:v>0703</x:v>
      </x:c>
      <x:c r="B430" s="38" t="str">
        <x:f>"0"</x:f>
        <x:v>0</x:v>
      </x:c>
      <x:c r="C430" s="38" t="str">
        <x:v>Claudia Mascarello Assmann</x:v>
      </x:c>
      <x:c r="D430" s="38" t="str">
        <x:f>""</x:f>
      </x:c>
      <x:c r="E430" s="38" t="str">
        <x:f>""</x:f>
      </x:c>
      <x:c r="F430" s="38" t="str"/>
      <x:c r="G430" s="39" t="n">
        <x:v>46152</x:v>
      </x:c>
      <x:c r="H430" s="16" t="str">
        <x:v>05/2026</x:v>
      </x:c>
      <x:c r="I430" s="40" t="n">
        <x:v>1881</x:v>
      </x:c>
      <x:c r="J430" s="40" t="n">
        <x:v>1960.16</x:v>
      </x:c>
      <x:c r="K430" s="16" t="str">
        <x:v>Novo</x:v>
      </x:c>
      <x:c r="L430" s="16" t="str">
        <x:v>Em aberto</x:v>
      </x:c>
      <x:c r="M430" s="16" t="str">
        <x:v>b8dbae94-f8c8-4145-809d-9a6b0d271c82</x:v>
      </x:c>
      <x:c r="N430" s="41" t="str"/>
    </x:row>
    <x:row r="431">
      <x:c r="A431" s="37" t="str">
        <x:f>"0705"</x:f>
        <x:v>0705</x:v>
      </x:c>
      <x:c r="B431" s="38" t="str">
        <x:f>"0"</x:f>
        <x:v>0</x:v>
      </x:c>
      <x:c r="C431" s="38" t="str">
        <x:v>Andréa Freitas Garcia Leão</x:v>
      </x:c>
      <x:c r="D431" s="38" t="str">
        <x:f>""</x:f>
      </x:c>
      <x:c r="E431" s="38" t="str">
        <x:f>""</x:f>
      </x:c>
      <x:c r="F431" s="38" t="str"/>
      <x:c r="G431" s="39" t="n">
        <x:v>46032</x:v>
      </x:c>
      <x:c r="H431" s="16" t="str">
        <x:v>01/2026</x:v>
      </x:c>
      <x:c r="I431" s="40" t="n">
        <x:v>1770.81</x:v>
      </x:c>
      <x:c r="J431" s="40" t="n">
        <x:v>1914.69</x:v>
      </x:c>
      <x:c r="K431" s="16" t="str">
        <x:v>Novo</x:v>
      </x:c>
      <x:c r="L431" s="16" t="str">
        <x:v>Em aberto</x:v>
      </x:c>
      <x:c r="M431" s="16" t="str">
        <x:v>b22a197e-97e7-437f-bb89-32a8c0d8e974</x:v>
      </x:c>
      <x:c r="N431" s="41" t="str"/>
    </x:row>
    <x:row r="432">
      <x:c r="A432" s="37" t="str">
        <x:f>"0705"</x:f>
        <x:v>0705</x:v>
      </x:c>
      <x:c r="B432" s="38" t="str">
        <x:f>"0"</x:f>
        <x:v>0</x:v>
      </x:c>
      <x:c r="C432" s="38" t="str">
        <x:v>Andréa Freitas Garcia Leão</x:v>
      </x:c>
      <x:c r="D432" s="38" t="str">
        <x:f>""</x:f>
      </x:c>
      <x:c r="E432" s="38" t="str">
        <x:f>""</x:f>
      </x:c>
      <x:c r="F432" s="38" t="str"/>
      <x:c r="G432" s="39" t="n">
        <x:v>46063</x:v>
      </x:c>
      <x:c r="H432" s="16" t="str">
        <x:v>02/2026</x:v>
      </x:c>
      <x:c r="I432" s="40" t="n">
        <x:v>1770.8</x:v>
      </x:c>
      <x:c r="J432" s="40" t="n">
        <x:v>1896.7</x:v>
      </x:c>
      <x:c r="K432" s="16" t="str">
        <x:v>Novo</x:v>
      </x:c>
      <x:c r="L432" s="16" t="str">
        <x:v>Em aberto</x:v>
      </x:c>
      <x:c r="M432" s="16" t="str">
        <x:v>f019da68-e599-4657-b224-c02cf6af0973</x:v>
      </x:c>
      <x:c r="N432" s="41" t="str"/>
    </x:row>
    <x:row r="433">
      <x:c r="A433" s="37" t="str">
        <x:f>"0705"</x:f>
        <x:v>0705</x:v>
      </x:c>
      <x:c r="B433" s="38" t="str">
        <x:f>"0"</x:f>
        <x:v>0</x:v>
      </x:c>
      <x:c r="C433" s="38" t="str">
        <x:v>Andréa Freitas Garcia Leão</x:v>
      </x:c>
      <x:c r="D433" s="38" t="str">
        <x:f>""</x:f>
      </x:c>
      <x:c r="E433" s="38" t="str">
        <x:f>""</x:f>
      </x:c>
      <x:c r="F433" s="38" t="str"/>
      <x:c r="G433" s="39" t="n">
        <x:v>46091</x:v>
      </x:c>
      <x:c r="H433" s="16" t="str">
        <x:v>03/2026</x:v>
      </x:c>
      <x:c r="I433" s="40" t="n">
        <x:v>1770.8</x:v>
      </x:c>
      <x:c r="J433" s="40" t="n">
        <x:v>1880.46</x:v>
      </x:c>
      <x:c r="K433" s="16" t="str">
        <x:v>Novo</x:v>
      </x:c>
      <x:c r="L433" s="16" t="str">
        <x:v>Em aberto</x:v>
      </x:c>
      <x:c r="M433" s="16" t="str">
        <x:v>9f725ef7-a466-42ce-8795-2799afa546be</x:v>
      </x:c>
      <x:c r="N433" s="41" t="str"/>
    </x:row>
    <x:row r="434">
      <x:c r="A434" s="37" t="str">
        <x:f>"0705"</x:f>
        <x:v>0705</x:v>
      </x:c>
      <x:c r="B434" s="38" t="str">
        <x:f>"0"</x:f>
        <x:v>0</x:v>
      </x:c>
      <x:c r="C434" s="38" t="str">
        <x:v>Andréa Freitas Garcia Leão</x:v>
      </x:c>
      <x:c r="D434" s="38" t="str">
        <x:f>""</x:f>
      </x:c>
      <x:c r="E434" s="38" t="str">
        <x:f>""</x:f>
      </x:c>
      <x:c r="F434" s="38" t="str"/>
      <x:c r="G434" s="39" t="n">
        <x:v>46122</x:v>
      </x:c>
      <x:c r="H434" s="16" t="str">
        <x:v>04/2026</x:v>
      </x:c>
      <x:c r="I434" s="40" t="n">
        <x:v>1770.8</x:v>
      </x:c>
      <x:c r="J434" s="40" t="n">
        <x:v>1862.48</x:v>
      </x:c>
      <x:c r="K434" s="16" t="str">
        <x:v>Novo</x:v>
      </x:c>
      <x:c r="L434" s="16" t="str">
        <x:v>Em aberto</x:v>
      </x:c>
      <x:c r="M434" s="16" t="str">
        <x:v>93955042-b026-4edb-872f-dff5b95f01e5</x:v>
      </x:c>
      <x:c r="N434" s="41" t="str"/>
    </x:row>
    <x:row r="435">
      <x:c r="A435" s="37" t="str">
        <x:f>"0705"</x:f>
        <x:v>0705</x:v>
      </x:c>
      <x:c r="B435" s="38" t="str">
        <x:f>"0"</x:f>
        <x:v>0</x:v>
      </x:c>
      <x:c r="C435" s="38" t="str">
        <x:v>Andréa Freitas Garcia Leão</x:v>
      </x:c>
      <x:c r="D435" s="38" t="str">
        <x:f>""</x:f>
      </x:c>
      <x:c r="E435" s="38" t="str">
        <x:f>""</x:f>
      </x:c>
      <x:c r="F435" s="38" t="str"/>
      <x:c r="G435" s="39" t="n">
        <x:v>46152</x:v>
      </x:c>
      <x:c r="H435" s="16" t="str">
        <x:v>05/2026</x:v>
      </x:c>
      <x:c r="I435" s="40" t="n">
        <x:v>1881</x:v>
      </x:c>
      <x:c r="J435" s="40" t="n">
        <x:v>1960.16</x:v>
      </x:c>
      <x:c r="K435" s="16" t="str">
        <x:v>Novo</x:v>
      </x:c>
      <x:c r="L435" s="16" t="str">
        <x:v>Em aberto</x:v>
      </x:c>
      <x:c r="M435" s="16" t="str">
        <x:v>14b33ddd-1e1a-4a6b-bc1f-f539f6eb0712</x:v>
      </x:c>
      <x:c r="N435" s="41" t="str"/>
    </x:row>
    <x:row r="436">
      <x:c r="A436" s="37" t="str">
        <x:f>"0705"</x:f>
        <x:v>0705</x:v>
      </x:c>
      <x:c r="B436" s="38" t="str">
        <x:f>"0"</x:f>
        <x:v>0</x:v>
      </x:c>
      <x:c r="C436" s="38" t="str">
        <x:v>Andréa Freitas Garcia Leão</x:v>
      </x:c>
      <x:c r="D436" s="38" t="str">
        <x:f>""</x:f>
      </x:c>
      <x:c r="E436" s="38" t="str">
        <x:f>""</x:f>
      </x:c>
      <x:c r="F436" s="38" t="str"/>
      <x:c r="G436" s="39" t="n">
        <x:v>46183</x:v>
      </x:c>
      <x:c r="H436" s="16" t="str">
        <x:v>06/2026</x:v>
      </x:c>
      <x:c r="I436" s="40" t="n">
        <x:v>1881</x:v>
      </x:c>
      <x:c r="J436" s="40" t="n">
        <x:v>1940.94</x:v>
      </x:c>
      <x:c r="K436" s="16" t="str">
        <x:v>Novo</x:v>
      </x:c>
      <x:c r="L436" s="16" t="str">
        <x:v>Em aberto</x:v>
      </x:c>
      <x:c r="M436" s="16" t="str">
        <x:v>42f6dbcc-d0ef-45db-95ea-329332ee2edc</x:v>
      </x:c>
      <x:c r="N436" s="41" t="str"/>
    </x:row>
    <x:row r="437">
      <x:c r="A437" s="37" t="str">
        <x:f>"0801"</x:f>
        <x:v>0801</x:v>
      </x:c>
      <x:c r="B437" s="38" t="str">
        <x:f>"0"</x:f>
        <x:v>0</x:v>
      </x:c>
      <x:c r="C437" s="38" t="str">
        <x:v>Alzira Pereira Martins</x:v>
      </x:c>
      <x:c r="D437" s="38" t="str">
        <x:f>""</x:f>
      </x:c>
      <x:c r="E437" s="38" t="str">
        <x:f>""</x:f>
      </x:c>
      <x:c r="F437" s="38" t="str"/>
      <x:c r="G437" s="39" t="n">
        <x:v>46178</x:v>
      </x:c>
      <x:c r="H437" s="16" t="str">
        <x:v>06/2026</x:v>
      </x:c>
      <x:c r="I437" s="40" t="n">
        <x:v>1530.47</x:v>
      </x:c>
      <x:c r="J437" s="40" t="n">
        <x:v>1581.99</x:v>
      </x:c>
      <x:c r="K437" s="16" t="str">
        <x:v>Novo</x:v>
      </x:c>
      <x:c r="L437" s="16" t="str">
        <x:v>Em aberto</x:v>
      </x:c>
      <x:c r="M437" s="16" t="str">
        <x:v>f6165cdd-76e8-4b06-a701-350a2f88cb77</x:v>
      </x:c>
      <x:c r="N437" s="41" t="str"/>
    </x:row>
    <x:row r="438">
      <x:c r="A438" s="37" t="str">
        <x:f>"1010"</x:f>
        <x:v>1010</x:v>
      </x:c>
      <x:c r="B438" s="38" t="str">
        <x:f>"0"</x:f>
        <x:v>0</x:v>
      </x:c>
      <x:c r="C438" s="38" t="str">
        <x:v>Vitor Dantas Diniz</x:v>
      </x:c>
      <x:c r="D438" s="38" t="str">
        <x:f>""</x:f>
      </x:c>
      <x:c r="E438" s="38" t="str">
        <x:f>"11996469701"</x:f>
        <x:v>11996469701</x:v>
      </x:c>
      <x:c r="F438" s="38" t="str">
        <x:v>vitordantasdiniz@me.com</x:v>
      </x:c>
      <x:c r="G438" s="39" t="n">
        <x:v>46032</x:v>
      </x:c>
      <x:c r="H438" s="16" t="str">
        <x:v>01/2026</x:v>
      </x:c>
      <x:c r="I438" s="40" t="n">
        <x:v>6401.13</x:v>
      </x:c>
      <x:c r="J438" s="40" t="n">
        <x:v>6793.81</x:v>
      </x:c>
      <x:c r="K438" s="16" t="str">
        <x:v>Novo</x:v>
      </x:c>
      <x:c r="L438" s="16" t="str">
        <x:v>Em aberto</x:v>
      </x:c>
      <x:c r="M438" s="16" t="str">
        <x:v>52558052-4225-4a7c-8b53-eec4f94af58c</x:v>
      </x:c>
      <x:c r="N438" s="41" t="str"/>
    </x:row>
    <x:row r="439">
      <x:c r="A439" s="37" t="str">
        <x:f>"1010"</x:f>
        <x:v>1010</x:v>
      </x:c>
      <x:c r="B439" s="38" t="str">
        <x:f>"0"</x:f>
        <x:v>0</x:v>
      </x:c>
      <x:c r="C439" s="38" t="str">
        <x:v>Vitor Dantas Diniz</x:v>
      </x:c>
      <x:c r="D439" s="38" t="str">
        <x:f>""</x:f>
      </x:c>
      <x:c r="E439" s="38" t="str">
        <x:f>"11996469701"</x:f>
        <x:v>11996469701</x:v>
      </x:c>
      <x:c r="F439" s="38" t="str">
        <x:v>vitordantasdiniz@me.com</x:v>
      </x:c>
      <x:c r="G439" s="39" t="n">
        <x:v>46063</x:v>
      </x:c>
      <x:c r="H439" s="16" t="str">
        <x:v>02/2026</x:v>
      </x:c>
      <x:c r="I439" s="40" t="n">
        <x:v>1770.8</x:v>
      </x:c>
      <x:c r="J439" s="40" t="n">
        <x:v>1896.7</x:v>
      </x:c>
      <x:c r="K439" s="16" t="str">
        <x:v>Novo</x:v>
      </x:c>
      <x:c r="L439" s="16" t="str">
        <x:v>Em aberto</x:v>
      </x:c>
      <x:c r="M439" s="16" t="str">
        <x:v>8185bea2-7441-48b0-940e-2dd651cc2bf3</x:v>
      </x:c>
      <x:c r="N439" s="41" t="str"/>
    </x:row>
    <x:row r="440">
      <x:c r="A440" s="37" t="str">
        <x:f>"1010"</x:f>
        <x:v>1010</x:v>
      </x:c>
      <x:c r="B440" s="38" t="str">
        <x:f>"0"</x:f>
        <x:v>0</x:v>
      </x:c>
      <x:c r="C440" s="38" t="str">
        <x:v>Vitor Dantas Diniz</x:v>
      </x:c>
      <x:c r="D440" s="38" t="str">
        <x:f>""</x:f>
      </x:c>
      <x:c r="E440" s="38" t="str">
        <x:f>"11996469701"</x:f>
        <x:v>11996469701</x:v>
      </x:c>
      <x:c r="F440" s="38" t="str">
        <x:v>vitordantasdiniz@me.com</x:v>
      </x:c>
      <x:c r="G440" s="39" t="n">
        <x:v>46152</x:v>
      </x:c>
      <x:c r="H440" s="16" t="str">
        <x:v>05/2026</x:v>
      </x:c>
      <x:c r="I440" s="40" t="n">
        <x:v>1881</x:v>
      </x:c>
      <x:c r="J440" s="40" t="n">
        <x:v>1960.16</x:v>
      </x:c>
      <x:c r="K440" s="16" t="str">
        <x:v>Novo</x:v>
      </x:c>
      <x:c r="L440" s="16" t="str">
        <x:v>Em aberto</x:v>
      </x:c>
      <x:c r="M440" s="16" t="str">
        <x:v>418b9a57-3f19-4641-80dd-2bc57afb9fa9</x:v>
      </x:c>
      <x:c r="N440" s="41" t="str"/>
    </x:row>
    <x:row r="441">
      <x:c r="A441" s="37" t="str">
        <x:f>"1101"</x:f>
        <x:v>1101</x:v>
      </x:c>
      <x:c r="B441" s="38" t="str">
        <x:f>"0"</x:f>
        <x:v>0</x:v>
      </x:c>
      <x:c r="C441" s="38" t="str">
        <x:v>Alexandre Brandi Patarra</x:v>
      </x:c>
      <x:c r="D441" s="38" t="str">
        <x:f>""</x:f>
      </x:c>
      <x:c r="E441" s="38" t="str">
        <x:f>"011999012075"</x:f>
        <x:v>011999012075</x:v>
      </x:c>
      <x:c r="F441" s="38" t="str">
        <x:v>apatarra@gmail.com</x:v>
      </x:c>
      <x:c r="G441" s="39" t="n">
        <x:v>46091</x:v>
      </x:c>
      <x:c r="H441" s="16" t="str">
        <x:v>03/2026</x:v>
      </x:c>
      <x:c r="I441" s="40" t="n">
        <x:v>1770.8</x:v>
      </x:c>
      <x:c r="J441" s="40" t="n">
        <x:v>1880.46</x:v>
      </x:c>
      <x:c r="K441" s="16" t="str">
        <x:v>Novo</x:v>
      </x:c>
      <x:c r="L441" s="16" t="str">
        <x:v>Em aberto</x:v>
      </x:c>
      <x:c r="M441" s="16" t="str">
        <x:v>24e63627-1041-40a9-9235-e6eb8e59f1d8</x:v>
      </x:c>
      <x:c r="N441" s="41" t="str"/>
    </x:row>
    <x:row r="442">
      <x:c r="A442" s="37" t="str">
        <x:f>"1101"</x:f>
        <x:v>1101</x:v>
      </x:c>
      <x:c r="B442" s="38" t="str">
        <x:f>"0"</x:f>
        <x:v>0</x:v>
      </x:c>
      <x:c r="C442" s="38" t="str">
        <x:v>Alexandre Brandi Patarra</x:v>
      </x:c>
      <x:c r="D442" s="38" t="str">
        <x:f>""</x:f>
      </x:c>
      <x:c r="E442" s="38" t="str">
        <x:f>"011999012075"</x:f>
        <x:v>011999012075</x:v>
      </x:c>
      <x:c r="F442" s="38" t="str">
        <x:v>apatarra@gmail.com</x:v>
      </x:c>
      <x:c r="G442" s="39" t="n">
        <x:v>46122</x:v>
      </x:c>
      <x:c r="H442" s="16" t="str">
        <x:v>04/2026</x:v>
      </x:c>
      <x:c r="I442" s="40" t="n">
        <x:v>1770.8</x:v>
      </x:c>
      <x:c r="J442" s="40" t="n">
        <x:v>1862.48</x:v>
      </x:c>
      <x:c r="K442" s="16" t="str">
        <x:v>Novo</x:v>
      </x:c>
      <x:c r="L442" s="16" t="str">
        <x:v>Em aberto</x:v>
      </x:c>
      <x:c r="M442" s="16" t="str">
        <x:v>b07005c8-e511-4dd0-af97-a6a344ae14aa</x:v>
      </x:c>
      <x:c r="N442" s="41" t="str"/>
    </x:row>
    <x:row r="443">
      <x:c r="A443" s="37" t="str">
        <x:f>"1101"</x:f>
        <x:v>1101</x:v>
      </x:c>
      <x:c r="B443" s="38" t="str">
        <x:f>"0"</x:f>
        <x:v>0</x:v>
      </x:c>
      <x:c r="C443" s="38" t="str">
        <x:v>Alexandre Brandi Patarra</x:v>
      </x:c>
      <x:c r="D443" s="38" t="str">
        <x:f>""</x:f>
      </x:c>
      <x:c r="E443" s="38" t="str">
        <x:f>"011999012075"</x:f>
        <x:v>011999012075</x:v>
      </x:c>
      <x:c r="F443" s="38" t="str">
        <x:v>apatarra@gmail.com</x:v>
      </x:c>
      <x:c r="G443" s="39" t="n">
        <x:v>46183</x:v>
      </x:c>
      <x:c r="H443" s="16" t="str">
        <x:v>06/2026</x:v>
      </x:c>
      <x:c r="I443" s="40" t="n">
        <x:v>1881</x:v>
      </x:c>
      <x:c r="J443" s="40" t="n">
        <x:v>1940.94</x:v>
      </x:c>
      <x:c r="K443" s="16" t="str">
        <x:v>Novo</x:v>
      </x:c>
      <x:c r="L443" s="16" t="str">
        <x:v>Em aberto</x:v>
      </x:c>
      <x:c r="M443" s="16" t="str">
        <x:v>fc31acd9-1c3d-414e-bea5-61b010894dd0</x:v>
      </x:c>
      <x:c r="N443" s="41" t="str"/>
    </x:row>
    <x:row r="444">
      <x:c r="A444" s="37" t="str">
        <x:f>"1501"</x:f>
        <x:v>1501</x:v>
      </x:c>
      <x:c r="B444" s="38" t="str">
        <x:f>"0"</x:f>
        <x:v>0</x:v>
      </x:c>
      <x:c r="C444" s="38" t="str">
        <x:v>Juarez Antonio Italiani / FELIPE ANGOTTI CUCOLO</x:v>
      </x:c>
      <x:c r="D444" s="38" t="str">
        <x:f>""</x:f>
      </x:c>
      <x:c r="E444" s="38" t="str">
        <x:f>"11947437069"</x:f>
        <x:v>11947437069</x:v>
      </x:c>
      <x:c r="F444" s="38" t="str">
        <x:v>advitaliani@uol.com.br</x:v>
      </x:c>
      <x:c r="G444" s="39" t="n">
        <x:v>46091</x:v>
      </x:c>
      <x:c r="H444" s="16" t="str">
        <x:v>03/2026</x:v>
      </x:c>
      <x:c r="I444" s="40" t="n">
        <x:v>1770.8</x:v>
      </x:c>
      <x:c r="J444" s="40" t="n">
        <x:v>1880.46</x:v>
      </x:c>
      <x:c r="K444" s="16" t="str">
        <x:v>Novo</x:v>
      </x:c>
      <x:c r="L444" s="16" t="str">
        <x:v>Em aberto</x:v>
      </x:c>
      <x:c r="M444" s="16" t="str">
        <x:v>25e0b945-b42a-4f48-8fa3-33ff94f6f697</x:v>
      </x:c>
      <x:c r="N444" s="41" t="str"/>
    </x:row>
    <x:row r="445">
      <x:c r="A445" s="37" t="str">
        <x:f>"1501"</x:f>
        <x:v>1501</x:v>
      </x:c>
      <x:c r="B445" s="38" t="str">
        <x:f>"0"</x:f>
        <x:v>0</x:v>
      </x:c>
      <x:c r="C445" s="38" t="str">
        <x:v>Juarez Antonio Italiani / FELIPE ANGOTTI CUCOLO</x:v>
      </x:c>
      <x:c r="D445" s="38" t="str">
        <x:f>""</x:f>
      </x:c>
      <x:c r="E445" s="38" t="str">
        <x:f>"11947437069"</x:f>
        <x:v>11947437069</x:v>
      </x:c>
      <x:c r="F445" s="38" t="str">
        <x:v>advitaliani@uol.com.br</x:v>
      </x:c>
      <x:c r="G445" s="39" t="n">
        <x:v>46118</x:v>
      </x:c>
      <x:c r="H445" s="16" t="str">
        <x:v>04/2026</x:v>
      </x:c>
      <x:c r="I445" s="40" t="n">
        <x:v>2111.17</x:v>
      </x:c>
      <x:c r="J445" s="40" t="n">
        <x:v>2224.09</x:v>
      </x:c>
      <x:c r="K445" s="16" t="str">
        <x:v>Novo</x:v>
      </x:c>
      <x:c r="L445" s="16" t="str">
        <x:v>Em aberto</x:v>
      </x:c>
      <x:c r="M445" s="16" t="str">
        <x:v>1d970abe-8fda-42a2-802a-ba11842d29ad</x:v>
      </x:c>
      <x:c r="N445" s="41" t="str"/>
    </x:row>
    <x:row r="446">
      <x:c r="A446" s="42" t="str">
        <x:f>"1501"</x:f>
        <x:v>1501</x:v>
      </x:c>
      <x:c r="B446" s="43" t="str">
        <x:f>"0"</x:f>
        <x:v>0</x:v>
      </x:c>
      <x:c r="C446" s="43" t="str">
        <x:v>Juarez Antonio Italiani / FELIPE ANGOTTI CUCOLO</x:v>
      </x:c>
      <x:c r="D446" s="43" t="str">
        <x:f>""</x:f>
      </x:c>
      <x:c r="E446" s="43" t="str">
        <x:f>"11947437069"</x:f>
        <x:v>11947437069</x:v>
      </x:c>
      <x:c r="F446" s="43" t="str">
        <x:v>advitaliani@uol.com.br</x:v>
      </x:c>
      <x:c r="G446" s="44" t="n">
        <x:v>46122</x:v>
      </x:c>
      <x:c r="H446" s="20" t="str">
        <x:v>04/2026</x:v>
      </x:c>
      <x:c r="I446" s="45" t="n">
        <x:v>1770.8</x:v>
      </x:c>
      <x:c r="J446" s="45" t="n">
        <x:v>1862.48</x:v>
      </x:c>
      <x:c r="K446" s="20" t="str">
        <x:v>Novo</x:v>
      </x:c>
      <x:c r="L446" s="20" t="str">
        <x:v>Em aberto</x:v>
      </x:c>
      <x:c r="M446" s="20" t="str">
        <x:v>98ad7af1-ca40-430c-8407-441b0ef6ba01</x:v>
      </x:c>
      <x:c r="N446" s="46" t="str"/>
    </x:row>
    <x:row r="447">
      <x:c r="A447" s="47" t="str">
        <x:v>Subtotal</x:v>
      </x:c>
      <x:c r="B447" s="47" t="str"/>
      <x:c r="C447" s="47" t="str"/>
      <x:c r="D447" s="47" t="str"/>
      <x:c r="E447" s="47" t="str"/>
      <x:c r="F447" s="47" t="str"/>
      <x:c r="G447" s="47" t="str"/>
      <x:c r="H447" s="47" t="str"/>
      <x:c r="I447" s="47" t="str"/>
      <x:c r="J447" s="48" t="n">
        <x:v>41094.67</x:v>
      </x:c>
      <x:c r="K447" s="47" t="str">
        <x:v>19 novas</x:v>
      </x:c>
      <x:c r="L447" s="47" t="str">
        <x:v>0 ativas</x:v>
      </x:c>
      <x:c r="M447" s="47" t="str"/>
      <x:c r="N447" s="47" t="str"/>
    </x:row>
    <x:row r="449">
      <x:c r="A449" s="26" t="str">
        <x:v>SUBCONDOMINIO EDIFICIO OFFICE TAMBORE</x:v>
      </x:c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</x:row>
    <x:row r="450">
      <x:c r="A450" s="28" t="str">
        <x:v>CNPJ</x:v>
      </x:c>
      <x:c r="B450" s="28" t="str">
        <x:v>11.772.599/0001-06</x:v>
      </x:c>
      <x:c r="C450" s="28"/>
      <x:c r="D450" s="28" t="str">
        <x:v>Dia de vencimento</x:v>
      </x:c>
      <x:c r="E450" s="28" t="n">
        <x:v>10</x:v>
      </x:c>
      <x:c r="F450" s="28" t="str">
        <x:v>Régua</x:v>
      </x:c>
      <x:c r="G450" s="28" t="str">
        <x:v>D+30</x:v>
      </x:c>
      <x:c r="H450" s="28"/>
      <x:c r="I450" s="28"/>
      <x:c r="J450" s="28"/>
      <x:c r="K450" s="28"/>
      <x:c r="L450" s="28"/>
      <x:c r="M450" s="28"/>
      <x:c r="N450" s="28"/>
    </x:row>
    <x:row r="451">
      <x:c r="A451" s="9" t="str">
        <x:v>Unidade</x:v>
      </x:c>
      <x:c r="B451" s="9" t="str">
        <x:v>Bloco</x:v>
      </x:c>
      <x:c r="C451" s="9" t="str">
        <x:v>Responsável</x:v>
      </x:c>
      <x:c r="D451" s="9" t="str">
        <x:v>Documento</x:v>
      </x:c>
      <x:c r="E451" s="9" t="str">
        <x:v>Telefone</x:v>
      </x:c>
      <x:c r="F451" s="9" t="str">
        <x:v>E-mail</x:v>
      </x:c>
      <x:c r="G451" s="9" t="str">
        <x:v>Vencimento</x:v>
      </x:c>
      <x:c r="H451" s="9" t="str">
        <x:v>Competência</x:v>
      </x:c>
      <x:c r="I451" s="9" t="str">
        <x:v>Valor original</x:v>
      </x:c>
      <x:c r="J451" s="9" t="str">
        <x:v>Valor atualizado</x:v>
      </x:c>
      <x:c r="K451" s="9" t="str">
        <x:v>Status operacional</x:v>
      </x:c>
      <x:c r="L451" s="9" t="str">
        <x:v>Status financeiro</x:v>
      </x:c>
      <x:c r="M451" s="9" t="str">
        <x:v>ID cobrança</x:v>
      </x:c>
      <x:c r="N451" s="9" t="str">
        <x:v>Observação</x:v>
      </x:c>
    </x:row>
    <x:row r="452">
      <x:c r="A452" s="31" t="str">
        <x:f>"001508"</x:f>
        <x:v>001508</x:v>
      </x:c>
      <x:c r="B452" s="32" t="str">
        <x:f>"OFFICE"</x:f>
        <x:v>OFFICE</x:v>
      </x:c>
      <x:c r="C452" s="32" t="str">
        <x:v>ADÉZIO OLIVEIRA SOARES</x:v>
      </x:c>
      <x:c r="D452" s="32" t="str">
        <x:f>"10834419572"</x:f>
        <x:v>10834419572</x:v>
      </x:c>
      <x:c r="E452" s="32" t="str">
        <x:f>"11968459212"</x:f>
        <x:v>11968459212</x:v>
      </x:c>
      <x:c r="F452" s="32" t="str">
        <x:v>rxs22@uol.com.br</x:v>
      </x:c>
      <x:c r="G452" s="33" t="n">
        <x:v>46183</x:v>
      </x:c>
      <x:c r="H452" s="34" t="str">
        <x:v>06/2026</x:v>
      </x:c>
      <x:c r="I452" s="35" t="n">
        <x:v>2433.93</x:v>
      </x:c>
      <x:c r="J452" s="35" t="n">
        <x:v>2433.93</x:v>
      </x:c>
      <x:c r="K452" s="34" t="str">
        <x:v>Em cobrança ativa</x:v>
      </x:c>
      <x:c r="L452" s="34" t="str">
        <x:v>Em aberto</x:v>
      </x:c>
      <x:c r="M452" s="34" t="str">
        <x:v>73e196c2-3b76-4e63-8cef-0bf4e9623264</x:v>
      </x:c>
      <x:c r="N452" s="36" t="str"/>
    </x:row>
    <x:row r="453">
      <x:c r="A453" s="37" t="str">
        <x:f>"001007"</x:f>
        <x:v>001007</x:v>
      </x:c>
      <x:c r="B453" s="38" t="str">
        <x:f>"OFFICE"</x:f>
        <x:v>OFFICE</x:v>
      </x:c>
      <x:c r="C453" s="38" t="str">
        <x:v>ROBERTO ALVES DE MELLO</x:v>
      </x:c>
      <x:c r="D453" s="38" t="str">
        <x:f>"59335203904"</x:f>
        <x:v>59335203904</x:v>
      </x:c>
      <x:c r="E453" s="38" t="str">
        <x:f>""</x:f>
      </x:c>
      <x:c r="F453" s="38" t="str">
        <x:v>ntalymello@gmail.com</x:v>
      </x:c>
      <x:c r="G453" s="39" t="n">
        <x:v>46032</x:v>
      </x:c>
      <x:c r="H453" s="16" t="str">
        <x:v>01/2026</x:v>
      </x:c>
      <x:c r="I453" s="40" t="n">
        <x:v>1086.88</x:v>
      </x:c>
      <x:c r="J453" s="40" t="n">
        <x:v>1228.91</x:v>
      </x:c>
      <x:c r="K453" s="16" t="str">
        <x:v>Novo</x:v>
      </x:c>
      <x:c r="L453" s="16" t="str">
        <x:v>Em aberto</x:v>
      </x:c>
      <x:c r="M453" s="16" t="str">
        <x:v>2acd01ec-3a25-4401-8ead-a358827237a3</x:v>
      </x:c>
      <x:c r="N453" s="41" t="str"/>
    </x:row>
    <x:row r="454">
      <x:c r="A454" s="37" t="str">
        <x:f>"001007"</x:f>
        <x:v>001007</x:v>
      </x:c>
      <x:c r="B454" s="38" t="str">
        <x:f>"OFFICE"</x:f>
        <x:v>OFFICE</x:v>
      </x:c>
      <x:c r="C454" s="38" t="str">
        <x:v>ROBERTO ALVES DE MELLO</x:v>
      </x:c>
      <x:c r="D454" s="38" t="str">
        <x:f>"59335203904"</x:f>
        <x:v>59335203904</x:v>
      </x:c>
      <x:c r="E454" s="38" t="str">
        <x:f>""</x:f>
      </x:c>
      <x:c r="F454" s="38" t="str">
        <x:v>ntalymello@gmail.com</x:v>
      </x:c>
      <x:c r="G454" s="39" t="n">
        <x:v>46063</x:v>
      </x:c>
      <x:c r="H454" s="16" t="str">
        <x:v>02/2026</x:v>
      </x:c>
      <x:c r="I454" s="40" t="n">
        <x:v>1056.88</x:v>
      </x:c>
      <x:c r="J454" s="40" t="n">
        <x:v>1178.95</x:v>
      </x:c>
      <x:c r="K454" s="16" t="str">
        <x:v>Novo</x:v>
      </x:c>
      <x:c r="L454" s="16" t="str">
        <x:v>Em aberto</x:v>
      </x:c>
      <x:c r="M454" s="16" t="str">
        <x:v>e26f43e1-3879-412e-8a88-0f3403db3916</x:v>
      </x:c>
      <x:c r="N454" s="41" t="str"/>
    </x:row>
    <x:row r="455">
      <x:c r="A455" s="37" t="str">
        <x:f>"001007"</x:f>
        <x:v>001007</x:v>
      </x:c>
      <x:c r="B455" s="38" t="str">
        <x:f>"OFFICE"</x:f>
        <x:v>OFFICE</x:v>
      </x:c>
      <x:c r="C455" s="38" t="str">
        <x:v>ROBERTO ALVES DE MELLO</x:v>
      </x:c>
      <x:c r="D455" s="38" t="str">
        <x:f>"59335203904"</x:f>
        <x:v>59335203904</x:v>
      </x:c>
      <x:c r="E455" s="38" t="str">
        <x:f>""</x:f>
      </x:c>
      <x:c r="F455" s="38" t="str">
        <x:v>ntalymello@gmail.com</x:v>
      </x:c>
      <x:c r="G455" s="39" t="n">
        <x:v>46091</x:v>
      </x:c>
      <x:c r="H455" s="16" t="str">
        <x:v>03/2026</x:v>
      </x:c>
      <x:c r="I455" s="40" t="n">
        <x:v>1121.68</x:v>
      </x:c>
      <x:c r="J455" s="40" t="n">
        <x:v>1240.34</x:v>
      </x:c>
      <x:c r="K455" s="16" t="str">
        <x:v>Novo</x:v>
      </x:c>
      <x:c r="L455" s="16" t="str">
        <x:v>Em aberto</x:v>
      </x:c>
      <x:c r="M455" s="16" t="str">
        <x:v>0659b61f-5895-405a-9896-ef9ffc8202d4</x:v>
      </x:c>
      <x:c r="N455" s="41" t="str"/>
    </x:row>
    <x:row r="456">
      <x:c r="A456" s="37" t="str">
        <x:f>"001007"</x:f>
        <x:v>001007</x:v>
      </x:c>
      <x:c r="B456" s="38" t="str">
        <x:f>"OFFICE"</x:f>
        <x:v>OFFICE</x:v>
      </x:c>
      <x:c r="C456" s="38" t="str">
        <x:v>ROBERTO ALVES DE MELLO</x:v>
      </x:c>
      <x:c r="D456" s="38" t="str">
        <x:f>"59335203904"</x:f>
        <x:v>59335203904</x:v>
      </x:c>
      <x:c r="E456" s="38" t="str">
        <x:f>""</x:f>
      </x:c>
      <x:c r="F456" s="38" t="str">
        <x:v>ntalymello@gmail.com</x:v>
      </x:c>
      <x:c r="G456" s="39" t="n">
        <x:v>46122</x:v>
      </x:c>
      <x:c r="H456" s="16" t="str">
        <x:v>04/2026</x:v>
      </x:c>
      <x:c r="I456" s="40" t="n">
        <x:v>1121.68</x:v>
      </x:c>
      <x:c r="J456" s="40" t="n">
        <x:v>1222.13</x:v>
      </x:c>
      <x:c r="K456" s="16" t="str">
        <x:v>Novo</x:v>
      </x:c>
      <x:c r="L456" s="16" t="str">
        <x:v>Em aberto</x:v>
      </x:c>
      <x:c r="M456" s="16" t="str">
        <x:v>a749ca42-485b-4cca-b49b-3046396cdc7b</x:v>
      </x:c>
      <x:c r="N456" s="41" t="str"/>
    </x:row>
    <x:row r="457">
      <x:c r="A457" s="37" t="str">
        <x:f>"001007"</x:f>
        <x:v>001007</x:v>
      </x:c>
      <x:c r="B457" s="38" t="str">
        <x:f>"OFFICE"</x:f>
        <x:v>OFFICE</x:v>
      </x:c>
      <x:c r="C457" s="38" t="str">
        <x:v>ROBERTO ALVES DE MELLO</x:v>
      </x:c>
      <x:c r="D457" s="38" t="str">
        <x:f>"59335203904"</x:f>
        <x:v>59335203904</x:v>
      </x:c>
      <x:c r="E457" s="38" t="str">
        <x:f>""</x:f>
      </x:c>
      <x:c r="F457" s="38" t="str">
        <x:v>ntalymello@gmail.com</x:v>
      </x:c>
      <x:c r="G457" s="39" t="n">
        <x:v>46152</x:v>
      </x:c>
      <x:c r="H457" s="16" t="str">
        <x:v>05/2026</x:v>
      </x:c>
      <x:c r="I457" s="40" t="n">
        <x:v>1121.68</x:v>
      </x:c>
      <x:c r="J457" s="40" t="n">
        <x:v>1178.62</x:v>
      </x:c>
      <x:c r="K457" s="16" t="str">
        <x:v>Novo</x:v>
      </x:c>
      <x:c r="L457" s="16" t="str">
        <x:v>Em aberto</x:v>
      </x:c>
      <x:c r="M457" s="16" t="str">
        <x:v>f0b8e5ea-3f43-4d49-ae00-2e448b21c370</x:v>
      </x:c>
      <x:c r="N457" s="41" t="str"/>
    </x:row>
    <x:row r="458">
      <x:c r="A458" s="37" t="str">
        <x:f>"001007"</x:f>
        <x:v>001007</x:v>
      </x:c>
      <x:c r="B458" s="38" t="str">
        <x:f>"OFFICE"</x:f>
        <x:v>OFFICE</x:v>
      </x:c>
      <x:c r="C458" s="38" t="str">
        <x:v>ROBERTO ALVES DE MELLO</x:v>
      </x:c>
      <x:c r="D458" s="38" t="str">
        <x:f>"59335203904"</x:f>
        <x:v>59335203904</x:v>
      </x:c>
      <x:c r="E458" s="38" t="str">
        <x:f>""</x:f>
      </x:c>
      <x:c r="F458" s="38" t="str">
        <x:v>ntalymello@gmail.com</x:v>
      </x:c>
      <x:c r="G458" s="39" t="n">
        <x:v>46183</x:v>
      </x:c>
      <x:c r="H458" s="16" t="str">
        <x:v>06/2026</x:v>
      </x:c>
      <x:c r="I458" s="40" t="n">
        <x:v>1121.68</x:v>
      </x:c>
      <x:c r="J458" s="40" t="n">
        <x:v>1157.21</x:v>
      </x:c>
      <x:c r="K458" s="16" t="str">
        <x:v>Novo</x:v>
      </x:c>
      <x:c r="L458" s="16" t="str">
        <x:v>Em aberto</x:v>
      </x:c>
      <x:c r="M458" s="16" t="str">
        <x:v>40f8be07-b89d-412e-bdc9-c311059d0d7a</x:v>
      </x:c>
      <x:c r="N458" s="41" t="str"/>
    </x:row>
    <x:row r="459">
      <x:c r="A459" s="37" t="str">
        <x:f>"001505"</x:f>
        <x:v>001505</x:v>
      </x:c>
      <x:c r="B459" s="38" t="str">
        <x:f>"OFFICE"</x:f>
        <x:v>OFFICE</x:v>
      </x:c>
      <x:c r="C459" s="38" t="str">
        <x:v>DINARTE DE OLIVEIRA</x:v>
      </x:c>
      <x:c r="D459" s="38" t="str">
        <x:f>"07684867000152"</x:f>
        <x:v>07684867000152</x:v>
      </x:c>
      <x:c r="E459" s="38" t="str">
        <x:f>"1199603000"</x:f>
        <x:v>1199603000</x:v>
      </x:c>
      <x:c r="F459" s="38" t="str">
        <x:v>dinarte.oliveira@uol.com.br</x:v>
      </x:c>
      <x:c r="G459" s="39" t="n">
        <x:v>46183</x:v>
      </x:c>
      <x:c r="H459" s="16" t="str">
        <x:v>06/2026</x:v>
      </x:c>
      <x:c r="I459" s="40" t="n">
        <x:v>1304.3</x:v>
      </x:c>
      <x:c r="J459" s="40" t="n">
        <x:v>1343.87</x:v>
      </x:c>
      <x:c r="K459" s="16" t="str">
        <x:v>Novo</x:v>
      </x:c>
      <x:c r="L459" s="16" t="str">
        <x:v>Em aberto</x:v>
      </x:c>
      <x:c r="M459" s="16" t="str">
        <x:v>9977b699-1092-4fca-9a6b-4da2aa82cc3c</x:v>
      </x:c>
      <x:c r="N459" s="41" t="str"/>
    </x:row>
    <x:row r="460">
      <x:c r="A460" s="37" t="str">
        <x:f>"001507"</x:f>
        <x:v>001507</x:v>
      </x:c>
      <x:c r="B460" s="38" t="str">
        <x:f>"OFFICE"</x:f>
        <x:v>OFFICE</x:v>
      </x:c>
      <x:c r="C460" s="38" t="str">
        <x:v>DINARTE DE OLIVEIRA</x:v>
      </x:c>
      <x:c r="D460" s="38" t="str">
        <x:f>"07684867000152"</x:f>
        <x:v>07684867000152</x:v>
      </x:c>
      <x:c r="E460" s="38" t="str">
        <x:f>"1199603000"</x:f>
        <x:v>1199603000</x:v>
      </x:c>
      <x:c r="F460" s="38" t="str">
        <x:v>dinarte.oliveira@uol.com.br</x:v>
      </x:c>
      <x:c r="G460" s="39" t="n">
        <x:v>46183</x:v>
      </x:c>
      <x:c r="H460" s="16" t="str">
        <x:v>06/2026</x:v>
      </x:c>
      <x:c r="I460" s="40" t="n">
        <x:v>1056.88</x:v>
      </x:c>
      <x:c r="J460" s="40" t="n">
        <x:v>1090.35</x:v>
      </x:c>
      <x:c r="K460" s="16" t="str">
        <x:v>Novo</x:v>
      </x:c>
      <x:c r="L460" s="16" t="str">
        <x:v>Em aberto</x:v>
      </x:c>
      <x:c r="M460" s="16" t="str">
        <x:v>30fc08a7-d19c-41d0-8be6-883e27ddb32f</x:v>
      </x:c>
      <x:c r="N460" s="41" t="str"/>
    </x:row>
    <x:row r="461">
      <x:c r="A461" s="37" t="str">
        <x:f>"001608"</x:f>
        <x:v>001608</x:v>
      </x:c>
      <x:c r="B461" s="38" t="str">
        <x:f>"OFFICE"</x:f>
        <x:v>OFFICE</x:v>
      </x:c>
      <x:c r="C461" s="38" t="str">
        <x:v>ASSOCIACAO DE PROTECAO AMBIENTAL CRUZEIRO DO SUL</x:v>
      </x:c>
      <x:c r="D461" s="38" t="str">
        <x:f>"49579395000118"</x:f>
        <x:v>49579395000118</x:v>
      </x:c>
      <x:c r="E461" s="38" t="str">
        <x:f>""</x:f>
      </x:c>
      <x:c r="F461" s="38" t="str">
        <x:v>hamiltonrenov@gmail.com</x:v>
      </x:c>
      <x:c r="G461" s="39" t="n">
        <x:v>46152</x:v>
      </x:c>
      <x:c r="H461" s="16" t="str">
        <x:v>05/2026</x:v>
      </x:c>
      <x:c r="I461" s="40" t="n">
        <x:v>1056.88</x:v>
      </x:c>
      <x:c r="J461" s="40" t="n">
        <x:v>1110.53</x:v>
      </x:c>
      <x:c r="K461" s="16" t="str">
        <x:v>Novo</x:v>
      </x:c>
      <x:c r="L461" s="16" t="str">
        <x:v>Em aberto</x:v>
      </x:c>
      <x:c r="M461" s="16" t="str">
        <x:v>87b0b437-684f-40b2-a41d-180364f1a048</x:v>
      </x:c>
      <x:c r="N461" s="41" t="str"/>
    </x:row>
    <x:row r="462">
      <x:c r="A462" s="37" t="str">
        <x:f>"001810"</x:f>
        <x:v>001810</x:v>
      </x:c>
      <x:c r="B462" s="38" t="str">
        <x:f>"OFFICE"</x:f>
        <x:v>OFFICE</x:v>
      </x:c>
      <x:c r="C462" s="38" t="str">
        <x:v>MARCELO GRANDINI SILAS</x:v>
      </x:c>
      <x:c r="D462" s="38" t="str">
        <x:f>"08572407812"</x:f>
        <x:v>08572407812</x:v>
      </x:c>
      <x:c r="E462" s="38" t="str">
        <x:f>"1381030900"</x:f>
        <x:v>1381030900</x:v>
      </x:c>
      <x:c r="F462" s="38" t="str">
        <x:v>mgsilas@uol.com.br</x:v>
      </x:c>
      <x:c r="G462" s="39" t="n">
        <x:v>46032</x:v>
      </x:c>
      <x:c r="H462" s="16" t="str">
        <x:v>01/2026</x:v>
      </x:c>
      <x:c r="I462" s="40" t="n">
        <x:v>1056.88</x:v>
      </x:c>
      <x:c r="J462" s="40" t="n">
        <x:v>1194.99</x:v>
      </x:c>
      <x:c r="K462" s="16" t="str">
        <x:v>Novo</x:v>
      </x:c>
      <x:c r="L462" s="16" t="str">
        <x:v>Em aberto</x:v>
      </x:c>
      <x:c r="M462" s="16" t="str">
        <x:v>2cb61966-8806-4a8d-b84d-8bd63ba0bf96</x:v>
      </x:c>
      <x:c r="N462" s="41" t="str"/>
    </x:row>
    <x:row r="463">
      <x:c r="A463" s="37" t="str">
        <x:f>"001810"</x:f>
        <x:v>001810</x:v>
      </x:c>
      <x:c r="B463" s="38" t="str">
        <x:f>"OFFICE"</x:f>
        <x:v>OFFICE</x:v>
      </x:c>
      <x:c r="C463" s="38" t="str">
        <x:v>MARCELO GRANDINI SILAS</x:v>
      </x:c>
      <x:c r="D463" s="38" t="str">
        <x:f>"08572407812"</x:f>
        <x:v>08572407812</x:v>
      </x:c>
      <x:c r="E463" s="38" t="str">
        <x:f>"1381030900"</x:f>
        <x:v>1381030900</x:v>
      </x:c>
      <x:c r="F463" s="38" t="str">
        <x:v>mgsilas@uol.com.br</x:v>
      </x:c>
      <x:c r="G463" s="39" t="n">
        <x:v>46063</x:v>
      </x:c>
      <x:c r="H463" s="16" t="str">
        <x:v>02/2026</x:v>
      </x:c>
      <x:c r="I463" s="40" t="n">
        <x:v>1056.88</x:v>
      </x:c>
      <x:c r="J463" s="40" t="n">
        <x:v>1178.95</x:v>
      </x:c>
      <x:c r="K463" s="16" t="str">
        <x:v>Novo</x:v>
      </x:c>
      <x:c r="L463" s="16" t="str">
        <x:v>Em aberto</x:v>
      </x:c>
      <x:c r="M463" s="16" t="str">
        <x:v>549dae8c-bdc4-47d6-baec-73de02204ee9</x:v>
      </x:c>
      <x:c r="N463" s="41" t="str"/>
    </x:row>
    <x:row r="464">
      <x:c r="A464" s="37" t="str">
        <x:f>"001810"</x:f>
        <x:v>001810</x:v>
      </x:c>
      <x:c r="B464" s="38" t="str">
        <x:f>"OFFICE"</x:f>
        <x:v>OFFICE</x:v>
      </x:c>
      <x:c r="C464" s="38" t="str">
        <x:v>MARCELO GRANDINI SILAS</x:v>
      </x:c>
      <x:c r="D464" s="38" t="str">
        <x:f>"08572407812"</x:f>
        <x:v>08572407812</x:v>
      </x:c>
      <x:c r="E464" s="38" t="str">
        <x:f>"1381030900"</x:f>
        <x:v>1381030900</x:v>
      </x:c>
      <x:c r="F464" s="38" t="str">
        <x:v>mgsilas@uol.com.br</x:v>
      </x:c>
      <x:c r="G464" s="39" t="n">
        <x:v>46152</x:v>
      </x:c>
      <x:c r="H464" s="16" t="str">
        <x:v>05/2026</x:v>
      </x:c>
      <x:c r="I464" s="40" t="n">
        <x:v>1056.88</x:v>
      </x:c>
      <x:c r="J464" s="40" t="n">
        <x:v>1110.53</x:v>
      </x:c>
      <x:c r="K464" s="16" t="str">
        <x:v>Novo</x:v>
      </x:c>
      <x:c r="L464" s="16" t="str">
        <x:v>Em aberto</x:v>
      </x:c>
      <x:c r="M464" s="16" t="str">
        <x:v>65572771-faad-4df5-92a8-c09cb422c8bc</x:v>
      </x:c>
      <x:c r="N464" s="41" t="str"/>
    </x:row>
    <x:row r="465">
      <x:c r="A465" s="37" t="str">
        <x:f>"001810"</x:f>
        <x:v>001810</x:v>
      </x:c>
      <x:c r="B465" s="38" t="str">
        <x:f>"OFFICE"</x:f>
        <x:v>OFFICE</x:v>
      </x:c>
      <x:c r="C465" s="38" t="str">
        <x:v>MARCELO GRANDINI SILAS</x:v>
      </x:c>
      <x:c r="D465" s="38" t="str">
        <x:f>"08572407812"</x:f>
        <x:v>08572407812</x:v>
      </x:c>
      <x:c r="E465" s="38" t="str">
        <x:f>"1381030900"</x:f>
        <x:v>1381030900</x:v>
      </x:c>
      <x:c r="F465" s="38" t="str">
        <x:v>mgsilas@uol.com.br</x:v>
      </x:c>
      <x:c r="G465" s="39" t="n">
        <x:v>46183</x:v>
      </x:c>
      <x:c r="H465" s="16" t="str">
        <x:v>06/2026</x:v>
      </x:c>
      <x:c r="I465" s="40" t="n">
        <x:v>1056.88</x:v>
      </x:c>
      <x:c r="J465" s="40" t="n">
        <x:v>1090.35</x:v>
      </x:c>
      <x:c r="K465" s="16" t="str">
        <x:v>Novo</x:v>
      </x:c>
      <x:c r="L465" s="16" t="str">
        <x:v>Em aberto</x:v>
      </x:c>
      <x:c r="M465" s="16" t="str">
        <x:v>7b039636-5ae8-428b-9961-a3013708ab43</x:v>
      </x:c>
      <x:c r="N465" s="41" t="str"/>
    </x:row>
    <x:row r="466">
      <x:c r="A466" s="37" t="str">
        <x:f>"002104"</x:f>
        <x:v>002104</x:v>
      </x:c>
      <x:c r="B466" s="38" t="str">
        <x:f>"OFFICE"</x:f>
        <x:v>OFFICE</x:v>
      </x:c>
      <x:c r="C466" s="38" t="str">
        <x:v>EDITORA MANOLE</x:v>
      </x:c>
      <x:c r="D466" s="38" t="str">
        <x:f>"62351341000169"</x:f>
        <x:v>62351341000169</x:v>
      </x:c>
      <x:c r="E466" s="38" t="str">
        <x:f>"11989543041"</x:f>
        <x:v>11989543041</x:v>
      </x:c>
      <x:c r="F466" s="38" t="str">
        <x:v>walter@manole.com.br</x:v>
      </x:c>
      <x:c r="G466" s="39" t="n">
        <x:v>46183</x:v>
      </x:c>
      <x:c r="H466" s="16" t="str">
        <x:v>06/2026</x:v>
      </x:c>
      <x:c r="I466" s="40" t="n">
        <x:v>1056.88</x:v>
      </x:c>
      <x:c r="J466" s="40" t="n">
        <x:v>1090.35</x:v>
      </x:c>
      <x:c r="K466" s="16" t="str">
        <x:v>Novo</x:v>
      </x:c>
      <x:c r="L466" s="16" t="str">
        <x:v>Em aberto</x:v>
      </x:c>
      <x:c r="M466" s="16" t="str">
        <x:v>c7a75fdd-2f74-45b1-a157-1e771cf43dc3</x:v>
      </x:c>
      <x:c r="N466" s="41" t="str"/>
    </x:row>
    <x:row r="467">
      <x:c r="A467" s="37" t="str">
        <x:f>"002105"</x:f>
        <x:v>002105</x:v>
      </x:c>
      <x:c r="B467" s="38" t="str">
        <x:f>"OFFICE"</x:f>
        <x:v>OFFICE</x:v>
      </x:c>
      <x:c r="C467" s="38" t="str">
        <x:v>EDITORA MANOLE</x:v>
      </x:c>
      <x:c r="D467" s="38" t="str">
        <x:f>"62351341000169"</x:f>
        <x:v>62351341000169</x:v>
      </x:c>
      <x:c r="E467" s="38" t="str">
        <x:f>"11989543041"</x:f>
        <x:v>11989543041</x:v>
      </x:c>
      <x:c r="F467" s="38" t="str">
        <x:v>walter@manole.com.br</x:v>
      </x:c>
      <x:c r="G467" s="39" t="n">
        <x:v>46183</x:v>
      </x:c>
      <x:c r="H467" s="16" t="str">
        <x:v>06/2026</x:v>
      </x:c>
      <x:c r="I467" s="40" t="n">
        <x:v>1101.88</x:v>
      </x:c>
      <x:c r="J467" s="40" t="n">
        <x:v>1136.78</x:v>
      </x:c>
      <x:c r="K467" s="16" t="str">
        <x:v>Novo</x:v>
      </x:c>
      <x:c r="L467" s="16" t="str">
        <x:v>Em aberto</x:v>
      </x:c>
      <x:c r="M467" s="16" t="str">
        <x:v>eb0f5f35-c4dc-400a-827b-00147f8f1243</x:v>
      </x:c>
      <x:c r="N467" s="41" t="str"/>
    </x:row>
    <x:row r="468">
      <x:c r="A468" s="37" t="str">
        <x:f>"002106"</x:f>
        <x:v>002106</x:v>
      </x:c>
      <x:c r="B468" s="38" t="str">
        <x:f>"OFFICE"</x:f>
        <x:v>OFFICE</x:v>
      </x:c>
      <x:c r="C468" s="38" t="str">
        <x:v>EDITORA MANOLE</x:v>
      </x:c>
      <x:c r="D468" s="38" t="str">
        <x:f>"62351341000169"</x:f>
        <x:v>62351341000169</x:v>
      </x:c>
      <x:c r="E468" s="38" t="str">
        <x:f>"11989543041"</x:f>
        <x:v>11989543041</x:v>
      </x:c>
      <x:c r="F468" s="38" t="str">
        <x:v>walter@manole.com.br</x:v>
      </x:c>
      <x:c r="G468" s="39" t="n">
        <x:v>46183</x:v>
      </x:c>
      <x:c r="H468" s="16" t="str">
        <x:v>06/2026</x:v>
      </x:c>
      <x:c r="I468" s="40" t="n">
        <x:v>1056.88</x:v>
      </x:c>
      <x:c r="J468" s="40" t="n">
        <x:v>1090.35</x:v>
      </x:c>
      <x:c r="K468" s="16" t="str">
        <x:v>Novo</x:v>
      </x:c>
      <x:c r="L468" s="16" t="str">
        <x:v>Em aberto</x:v>
      </x:c>
      <x:c r="M468" s="16" t="str">
        <x:v>ce1eed71-5d5d-4db0-9686-3f9181908f63</x:v>
      </x:c>
      <x:c r="N468" s="41" t="str"/>
    </x:row>
    <x:row r="469">
      <x:c r="A469" s="37" t="str">
        <x:f>"002107"</x:f>
        <x:v>002107</x:v>
      </x:c>
      <x:c r="B469" s="38" t="str">
        <x:f>"OFFICE"</x:f>
        <x:v>OFFICE</x:v>
      </x:c>
      <x:c r="C469" s="38" t="str">
        <x:v>EDITORA MANOLE</x:v>
      </x:c>
      <x:c r="D469" s="38" t="str">
        <x:f>"62351341000169"</x:f>
        <x:v>62351341000169</x:v>
      </x:c>
      <x:c r="E469" s="38" t="str">
        <x:f>"11989543041"</x:f>
        <x:v>11989543041</x:v>
      </x:c>
      <x:c r="F469" s="38" t="str">
        <x:v>walter@manole.com.br</x:v>
      </x:c>
      <x:c r="G469" s="39" t="n">
        <x:v>46183</x:v>
      </x:c>
      <x:c r="H469" s="16" t="str">
        <x:v>06/2026</x:v>
      </x:c>
      <x:c r="I469" s="40" t="n">
        <x:v>1056.88</x:v>
      </x:c>
      <x:c r="J469" s="40" t="n">
        <x:v>1090.35</x:v>
      </x:c>
      <x:c r="K469" s="16" t="str">
        <x:v>Novo</x:v>
      </x:c>
      <x:c r="L469" s="16" t="str">
        <x:v>Em aberto</x:v>
      </x:c>
      <x:c r="M469" s="16" t="str">
        <x:v>a87389c2-0811-4c29-a6e1-695a8920219d</x:v>
      </x:c>
      <x:c r="N469" s="41" t="str"/>
    </x:row>
    <x:row r="470">
      <x:c r="A470" s="37" t="str">
        <x:f>"002108"</x:f>
        <x:v>002108</x:v>
      </x:c>
      <x:c r="B470" s="38" t="str">
        <x:f>"OFFICE"</x:f>
        <x:v>OFFICE</x:v>
      </x:c>
      <x:c r="C470" s="38" t="str">
        <x:v>EDITORA MANOLE</x:v>
      </x:c>
      <x:c r="D470" s="38" t="str">
        <x:f>"62351341000169"</x:f>
        <x:v>62351341000169</x:v>
      </x:c>
      <x:c r="E470" s="38" t="str">
        <x:f>"11989543041"</x:f>
        <x:v>11989543041</x:v>
      </x:c>
      <x:c r="F470" s="38" t="str">
        <x:v>walter@manole.com.br</x:v>
      </x:c>
      <x:c r="G470" s="39" t="n">
        <x:v>46183</x:v>
      </x:c>
      <x:c r="H470" s="16" t="str">
        <x:v>06/2026</x:v>
      </x:c>
      <x:c r="I470" s="40" t="n">
        <x:v>1056.88</x:v>
      </x:c>
      <x:c r="J470" s="40" t="n">
        <x:v>1090.35</x:v>
      </x:c>
      <x:c r="K470" s="16" t="str">
        <x:v>Novo</x:v>
      </x:c>
      <x:c r="L470" s="16" t="str">
        <x:v>Em aberto</x:v>
      </x:c>
      <x:c r="M470" s="16" t="str">
        <x:v>6362dd7f-b513-481f-b99d-b9814f07d958</x:v>
      </x:c>
      <x:c r="N470" s="41" t="str"/>
    </x:row>
    <x:row r="471">
      <x:c r="A471" s="37" t="str">
        <x:f>"002109"</x:f>
        <x:v>002109</x:v>
      </x:c>
      <x:c r="B471" s="38" t="str">
        <x:f>"OFFICE"</x:f>
        <x:v>OFFICE</x:v>
      </x:c>
      <x:c r="C471" s="38" t="str">
        <x:v>EDITORA MANOLE</x:v>
      </x:c>
      <x:c r="D471" s="38" t="str">
        <x:f>"62351341000169"</x:f>
        <x:v>62351341000169</x:v>
      </x:c>
      <x:c r="E471" s="38" t="str">
        <x:f>"11989543041"</x:f>
        <x:v>11989543041</x:v>
      </x:c>
      <x:c r="F471" s="38" t="str">
        <x:v>walter@manole.com.br</x:v>
      </x:c>
      <x:c r="G471" s="39" t="n">
        <x:v>46183</x:v>
      </x:c>
      <x:c r="H471" s="16" t="str">
        <x:v>06/2026</x:v>
      </x:c>
      <x:c r="I471" s="40" t="n">
        <x:v>1056.88</x:v>
      </x:c>
      <x:c r="J471" s="40" t="n">
        <x:v>1090.35</x:v>
      </x:c>
      <x:c r="K471" s="16" t="str">
        <x:v>Novo</x:v>
      </x:c>
      <x:c r="L471" s="16" t="str">
        <x:v>Em aberto</x:v>
      </x:c>
      <x:c r="M471" s="16" t="str">
        <x:v>435c077d-b725-4361-8369-9e52c615efab</x:v>
      </x:c>
      <x:c r="N471" s="41" t="str"/>
    </x:row>
    <x:row r="472">
      <x:c r="A472" s="37" t="str">
        <x:f>"002110"</x:f>
        <x:v>002110</x:v>
      </x:c>
      <x:c r="B472" s="38" t="str">
        <x:f>"OFFICE"</x:f>
        <x:v>OFFICE</x:v>
      </x:c>
      <x:c r="C472" s="38" t="str">
        <x:v>EDITORA MANOLE</x:v>
      </x:c>
      <x:c r="D472" s="38" t="str">
        <x:f>"62351341000169"</x:f>
        <x:v>62351341000169</x:v>
      </x:c>
      <x:c r="E472" s="38" t="str">
        <x:f>"11989543041"</x:f>
        <x:v>11989543041</x:v>
      </x:c>
      <x:c r="F472" s="38" t="str">
        <x:v>walter@manole.com.br</x:v>
      </x:c>
      <x:c r="G472" s="39" t="n">
        <x:v>46183</x:v>
      </x:c>
      <x:c r="H472" s="16" t="str">
        <x:v>06/2026</x:v>
      </x:c>
      <x:c r="I472" s="40" t="n">
        <x:v>1056.88</x:v>
      </x:c>
      <x:c r="J472" s="40" t="n">
        <x:v>1090.35</x:v>
      </x:c>
      <x:c r="K472" s="16" t="str">
        <x:v>Novo</x:v>
      </x:c>
      <x:c r="L472" s="16" t="str">
        <x:v>Em aberto</x:v>
      </x:c>
      <x:c r="M472" s="16" t="str">
        <x:v>b61df4d6-cec8-44ed-a579-5baa02654e6a</x:v>
      </x:c>
      <x:c r="N472" s="41" t="str"/>
    </x:row>
    <x:row r="473">
      <x:c r="A473" s="37" t="str">
        <x:f>"002111"</x:f>
        <x:v>002111</x:v>
      </x:c>
      <x:c r="B473" s="38" t="str">
        <x:f>"OFFICE"</x:f>
        <x:v>OFFICE</x:v>
      </x:c>
      <x:c r="C473" s="38" t="str"/>
      <x:c r="D473" s="38" t="str">
        <x:f>""</x:f>
      </x:c>
      <x:c r="E473" s="38" t="str">
        <x:f>""</x:f>
      </x:c>
      <x:c r="F473" s="38" t="str"/>
      <x:c r="G473" s="39" t="n">
        <x:v>46183</x:v>
      </x:c>
      <x:c r="H473" s="16" t="str">
        <x:v>06/2026</x:v>
      </x:c>
      <x:c r="I473" s="40" t="n">
        <x:v>1056.88</x:v>
      </x:c>
      <x:c r="J473" s="40" t="n">
        <x:v>1090.35</x:v>
      </x:c>
      <x:c r="K473" s="16" t="str">
        <x:v>Novo</x:v>
      </x:c>
      <x:c r="L473" s="16" t="str">
        <x:v>Em aberto</x:v>
      </x:c>
      <x:c r="M473" s="16" t="str">
        <x:v>92cd4bd9-61bd-4d7c-9499-c15413524c6c</x:v>
      </x:c>
      <x:c r="N473" s="41" t="str"/>
    </x:row>
    <x:row r="474">
      <x:c r="A474" s="37" t="str">
        <x:f>"002112"</x:f>
        <x:v>002112</x:v>
      </x:c>
      <x:c r="B474" s="38" t="str">
        <x:f>"OFFICE"</x:f>
        <x:v>OFFICE</x:v>
      </x:c>
      <x:c r="C474" s="38" t="str">
        <x:v>EDITORA MANOLE</x:v>
      </x:c>
      <x:c r="D474" s="38" t="str">
        <x:f>"62351341000169"</x:f>
        <x:v>62351341000169</x:v>
      </x:c>
      <x:c r="E474" s="38" t="str">
        <x:f>"11989543041"</x:f>
        <x:v>11989543041</x:v>
      </x:c>
      <x:c r="F474" s="38" t="str">
        <x:v>walter@manole.com.br</x:v>
      </x:c>
      <x:c r="G474" s="39" t="n">
        <x:v>46183</x:v>
      </x:c>
      <x:c r="H474" s="16" t="str">
        <x:v>06/2026</x:v>
      </x:c>
      <x:c r="I474" s="40" t="n">
        <x:v>1056.88</x:v>
      </x:c>
      <x:c r="J474" s="40" t="n">
        <x:v>1090.35</x:v>
      </x:c>
      <x:c r="K474" s="16" t="str">
        <x:v>Novo</x:v>
      </x:c>
      <x:c r="L474" s="16" t="str">
        <x:v>Em aberto</x:v>
      </x:c>
      <x:c r="M474" s="16" t="str">
        <x:v>77244e26-1922-453c-8f17-b43b6aca227a</x:v>
      </x:c>
      <x:c r="N474" s="41" t="str"/>
    </x:row>
    <x:row r="475">
      <x:c r="A475" s="37" t="str">
        <x:f>"002113"</x:f>
        <x:v>002113</x:v>
      </x:c>
      <x:c r="B475" s="38" t="str">
        <x:f>"OFFICE"</x:f>
        <x:v>OFFICE</x:v>
      </x:c>
      <x:c r="C475" s="38" t="str">
        <x:v>EDITORA MANOLE</x:v>
      </x:c>
      <x:c r="D475" s="38" t="str">
        <x:f>"62351341000169"</x:f>
        <x:v>62351341000169</x:v>
      </x:c>
      <x:c r="E475" s="38" t="str">
        <x:f>"11989543041"</x:f>
        <x:v>11989543041</x:v>
      </x:c>
      <x:c r="F475" s="38" t="str">
        <x:v>walter@manole.com.br</x:v>
      </x:c>
      <x:c r="G475" s="39" t="n">
        <x:v>46183</x:v>
      </x:c>
      <x:c r="H475" s="16" t="str">
        <x:v>06/2026</x:v>
      </x:c>
      <x:c r="I475" s="40" t="n">
        <x:v>1307.67</x:v>
      </x:c>
      <x:c r="J475" s="40" t="n">
        <x:v>1349.09</x:v>
      </x:c>
      <x:c r="K475" s="16" t="str">
        <x:v>Novo</x:v>
      </x:c>
      <x:c r="L475" s="16" t="str">
        <x:v>Em aberto</x:v>
      </x:c>
      <x:c r="M475" s="16" t="str">
        <x:v>c11b180d-cf8f-45f8-b02f-b2db1e574602</x:v>
      </x:c>
      <x:c r="N475" s="41" t="str"/>
    </x:row>
    <x:row r="476">
      <x:c r="A476" s="42" t="str">
        <x:f>"002114"</x:f>
        <x:v>002114</x:v>
      </x:c>
      <x:c r="B476" s="43" t="str">
        <x:f>"OFFICE"</x:f>
        <x:v>OFFICE</x:v>
      </x:c>
      <x:c r="C476" s="43" t="str">
        <x:v>EDITORA MANOLE</x:v>
      </x:c>
      <x:c r="D476" s="43" t="str">
        <x:f>"62351341000169"</x:f>
        <x:v>62351341000169</x:v>
      </x:c>
      <x:c r="E476" s="43" t="str">
        <x:f>"11989543041"</x:f>
        <x:v>11989543041</x:v>
      </x:c>
      <x:c r="F476" s="43" t="str">
        <x:v>walter@manole.com.br</x:v>
      </x:c>
      <x:c r="G476" s="44" t="n">
        <x:v>46183</x:v>
      </x:c>
      <x:c r="H476" s="20" t="str">
        <x:v>06/2026</x:v>
      </x:c>
      <x:c r="I476" s="45" t="n">
        <x:v>1307.67</x:v>
      </x:c>
      <x:c r="J476" s="45" t="n">
        <x:v>1349.09</x:v>
      </x:c>
      <x:c r="K476" s="20" t="str">
        <x:v>Novo</x:v>
      </x:c>
      <x:c r="L476" s="20" t="str">
        <x:v>Em aberto</x:v>
      </x:c>
      <x:c r="M476" s="20" t="str">
        <x:v>83445804-7e72-4b0b-b5c8-8d902e0ceaee</x:v>
      </x:c>
      <x:c r="N476" s="46" t="str"/>
    </x:row>
    <x:row r="477">
      <x:c r="A477" s="47" t="str">
        <x:v>Subtotal</x:v>
      </x:c>
      <x:c r="B477" s="47" t="str"/>
      <x:c r="C477" s="47" t="str"/>
      <x:c r="D477" s="47" t="str"/>
      <x:c r="E477" s="47" t="str"/>
      <x:c r="F477" s="47" t="str"/>
      <x:c r="G477" s="47" t="str"/>
      <x:c r="H477" s="47" t="str"/>
      <x:c r="I477" s="47" t="str"/>
      <x:c r="J477" s="48" t="n">
        <x:v>30317.42</x:v>
      </x:c>
      <x:c r="K477" s="47" t="str">
        <x:v>24 novas</x:v>
      </x:c>
      <x:c r="L477" s="47" t="str">
        <x:v>1 ativas</x:v>
      </x:c>
      <x:c r="M477" s="47" t="str"/>
      <x:c r="N477" s="47" t="str"/>
    </x:row>
    <x:row r="479">
      <x:c r="A479" s="24" t="str">
        <x:v>CARTEIRA: Genske Advogados · 419 cobranças · 417 novas · 2 ativas · R$ 537.691,27</x:v>
      </x:c>
      <x:c r="B479" s="24"/>
      <x:c r="C479" s="24"/>
      <x:c r="D479" s="24"/>
      <x:c r="E479" s="24"/>
      <x:c r="F479" s="24"/>
      <x:c r="G479" s="24"/>
      <x:c r="H479" s="24"/>
      <x:c r="I479" s="24"/>
      <x:c r="J479" s="24"/>
      <x:c r="K479" s="24"/>
      <x:c r="L479" s="24"/>
      <x:c r="M479" s="24"/>
      <x:c r="N479" s="24"/>
    </x:row>
    <x:row r="481">
      <x:c r="A481" s="26" t="str">
        <x:v>ALIVE HOME CLUB BELEM</x:v>
      </x:c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</x:row>
    <x:row r="482">
      <x:c r="A482" s="28" t="str">
        <x:v>CNPJ</x:v>
      </x:c>
      <x:c r="B482" s="28" t="str">
        <x:v>59.383.451/0001-06</x:v>
      </x:c>
      <x:c r="C482" s="28"/>
      <x:c r="D482" s="28" t="str">
        <x:v>Dia de vencimento</x:v>
      </x:c>
      <x:c r="E482" s="28" t="n">
        <x:v>10</x:v>
      </x:c>
      <x:c r="F482" s="28" t="str">
        <x:v>Régua</x:v>
      </x:c>
      <x:c r="G482" s="28" t="str">
        <x:v>D+30 · pré-jurídico em D+60</x:v>
      </x:c>
      <x:c r="H482" s="28"/>
      <x:c r="I482" s="28"/>
      <x:c r="J482" s="28"/>
      <x:c r="K482" s="28"/>
      <x:c r="L482" s="28"/>
      <x:c r="M482" s="28"/>
      <x:c r="N482" s="28"/>
    </x:row>
    <x:row r="483">
      <x:c r="A483" s="9" t="str">
        <x:v>Unidade</x:v>
      </x:c>
      <x:c r="B483" s="9" t="str">
        <x:v>Bloco</x:v>
      </x:c>
      <x:c r="C483" s="9" t="str">
        <x:v>Responsável</x:v>
      </x:c>
      <x:c r="D483" s="9" t="str">
        <x:v>Documento</x:v>
      </x:c>
      <x:c r="E483" s="9" t="str">
        <x:v>Telefone</x:v>
      </x:c>
      <x:c r="F483" s="9" t="str">
        <x:v>E-mail</x:v>
      </x:c>
      <x:c r="G483" s="9" t="str">
        <x:v>Vencimento</x:v>
      </x:c>
      <x:c r="H483" s="9" t="str">
        <x:v>Competência</x:v>
      </x:c>
      <x:c r="I483" s="9" t="str">
        <x:v>Valor original</x:v>
      </x:c>
      <x:c r="J483" s="9" t="str">
        <x:v>Valor atualizado</x:v>
      </x:c>
      <x:c r="K483" s="9" t="str">
        <x:v>Status operacional</x:v>
      </x:c>
      <x:c r="L483" s="9" t="str">
        <x:v>Status financeiro</x:v>
      </x:c>
      <x:c r="M483" s="9" t="str">
        <x:v>ID cobrança</x:v>
      </x:c>
      <x:c r="N483" s="9" t="str">
        <x:v>Observação</x:v>
      </x:c>
    </x:row>
    <x:row r="484">
      <x:c r="A484" s="31" t="str">
        <x:f>"000107"</x:f>
        <x:v>000107</x:v>
      </x:c>
      <x:c r="B484" s="32" t="str">
        <x:f>"0"</x:f>
        <x:v>0</x:v>
      </x:c>
      <x:c r="C484" s="32" t="str">
        <x:v>EDSON APARECIDO SANTANA</x:v>
      </x:c>
      <x:c r="D484" s="32" t="str">
        <x:f>"05046782804"</x:f>
        <x:v>05046782804</x:v>
      </x:c>
      <x:c r="E484" s="32" t="str">
        <x:f>"11995716622"</x:f>
        <x:v>11995716622</x:v>
      </x:c>
      <x:c r="F484" s="32" t="str">
        <x:v>edsonsantanaketal@gmail.com</x:v>
      </x:c>
      <x:c r="G484" s="33" t="n">
        <x:v>46032</x:v>
      </x:c>
      <x:c r="H484" s="34" t="str">
        <x:v>01/2026</x:v>
      </x:c>
      <x:c r="I484" s="35" t="n">
        <x:v>404.9</x:v>
      </x:c>
      <x:c r="J484" s="35" t="n">
        <x:v>457.42</x:v>
      </x:c>
      <x:c r="K484" s="34" t="str">
        <x:v>Novo</x:v>
      </x:c>
      <x:c r="L484" s="34" t="str">
        <x:v>Em aberto</x:v>
      </x:c>
      <x:c r="M484" s="34" t="str">
        <x:v>7ac0f38e-cdf5-4da4-af25-d2903d11d46f</x:v>
      </x:c>
      <x:c r="N484" s="36" t="str"/>
    </x:row>
    <x:row r="485">
      <x:c r="A485" s="37" t="str">
        <x:f>"000107"</x:f>
        <x:v>000107</x:v>
      </x:c>
      <x:c r="B485" s="38" t="str">
        <x:f>"0"</x:f>
        <x:v>0</x:v>
      </x:c>
      <x:c r="C485" s="38" t="str">
        <x:v>EDSON APARECIDO SANTANA</x:v>
      </x:c>
      <x:c r="D485" s="38" t="str">
        <x:f>"05046782804"</x:f>
        <x:v>05046782804</x:v>
      </x:c>
      <x:c r="E485" s="38" t="str">
        <x:f>"11995716622"</x:f>
        <x:v>11995716622</x:v>
      </x:c>
      <x:c r="F485" s="38" t="str">
        <x:v>edsonsantanaketal@gmail.com</x:v>
      </x:c>
      <x:c r="G485" s="39" t="n">
        <x:v>46063</x:v>
      </x:c>
      <x:c r="H485" s="16" t="str">
        <x:v>02/2026</x:v>
      </x:c>
      <x:c r="I485" s="40" t="n">
        <x:v>414.67</x:v>
      </x:c>
      <x:c r="J485" s="40" t="n">
        <x:v>463.14</x:v>
      </x:c>
      <x:c r="K485" s="16" t="str">
        <x:v>Novo</x:v>
      </x:c>
      <x:c r="L485" s="16" t="str">
        <x:v>Em aberto</x:v>
      </x:c>
      <x:c r="M485" s="16" t="str">
        <x:v>7a054f8e-f658-4347-8e0d-667c946f83ac</x:v>
      </x:c>
      <x:c r="N485" s="41" t="str"/>
    </x:row>
    <x:row r="486">
      <x:c r="A486" s="37" t="str">
        <x:f>"000107"</x:f>
        <x:v>000107</x:v>
      </x:c>
      <x:c r="B486" s="38" t="str">
        <x:f>"0"</x:f>
        <x:v>0</x:v>
      </x:c>
      <x:c r="C486" s="38" t="str">
        <x:v>EDSON APARECIDO SANTANA</x:v>
      </x:c>
      <x:c r="D486" s="38" t="str">
        <x:f>"05046782804"</x:f>
        <x:v>05046782804</x:v>
      </x:c>
      <x:c r="E486" s="38" t="str">
        <x:f>"11995716622"</x:f>
        <x:v>11995716622</x:v>
      </x:c>
      <x:c r="F486" s="38" t="str">
        <x:v>edsonsantanaketal@gmail.com</x:v>
      </x:c>
      <x:c r="G486" s="39" t="n">
        <x:v>46091</x:v>
      </x:c>
      <x:c r="H486" s="16" t="str">
        <x:v>03/2026</x:v>
      </x:c>
      <x:c r="I486" s="40" t="n">
        <x:v>395.81</x:v>
      </x:c>
      <x:c r="J486" s="40" t="n">
        <x:v>434.25</x:v>
      </x:c>
      <x:c r="K486" s="16" t="str">
        <x:v>Novo</x:v>
      </x:c>
      <x:c r="L486" s="16" t="str">
        <x:v>Em aberto</x:v>
      </x:c>
      <x:c r="M486" s="16" t="str">
        <x:v>3e173c93-d99c-4b55-be7f-e2f0be03e2fd</x:v>
      </x:c>
      <x:c r="N486" s="41" t="str"/>
    </x:row>
    <x:row r="487">
      <x:c r="A487" s="37" t="str">
        <x:f>"000107"</x:f>
        <x:v>000107</x:v>
      </x:c>
      <x:c r="B487" s="38" t="str">
        <x:f>"0"</x:f>
        <x:v>0</x:v>
      </x:c>
      <x:c r="C487" s="38" t="str">
        <x:v>EDSON APARECIDO SANTANA</x:v>
      </x:c>
      <x:c r="D487" s="38" t="str">
        <x:f>"05046782804"</x:f>
        <x:v>05046782804</x:v>
      </x:c>
      <x:c r="E487" s="38" t="str">
        <x:f>"11995716622"</x:f>
        <x:v>11995716622</x:v>
      </x:c>
      <x:c r="F487" s="38" t="str">
        <x:v>edsonsantanaketal@gmail.com</x:v>
      </x:c>
      <x:c r="G487" s="39" t="n">
        <x:v>46122</x:v>
      </x:c>
      <x:c r="H487" s="16" t="str">
        <x:v>04/2026</x:v>
      </x:c>
      <x:c r="I487" s="40" t="n">
        <x:v>496.35</x:v>
      </x:c>
      <x:c r="J487" s="40" t="n">
        <x:v>537.03</x:v>
      </x:c>
      <x:c r="K487" s="16" t="str">
        <x:v>Novo</x:v>
      </x:c>
      <x:c r="L487" s="16" t="str">
        <x:v>Em aberto</x:v>
      </x:c>
      <x:c r="M487" s="16" t="str">
        <x:v>a6437fc3-db53-4e88-a12b-ab499837337a</x:v>
      </x:c>
      <x:c r="N487" s="41" t="str"/>
    </x:row>
    <x:row r="488">
      <x:c r="A488" s="37" t="str">
        <x:f>"000210"</x:f>
        <x:v>000210</x:v>
      </x:c>
      <x:c r="B488" s="38" t="str">
        <x:f>"0"</x:f>
        <x:v>0</x:v>
      </x:c>
      <x:c r="C488" s="38" t="str">
        <x:v>PRISCILA MAIA CAVACA NUNES</x:v>
      </x:c>
      <x:c r="D488" s="38" t="str">
        <x:f>"22737214807"</x:f>
        <x:v>22737214807</x:v>
      </x:c>
      <x:c r="E488" s="38" t="str">
        <x:f>""</x:f>
      </x:c>
      <x:c r="F488" s="38" t="str">
        <x:v>cila.pmc@gmail.com</x:v>
      </x:c>
      <x:c r="G488" s="39" t="n">
        <x:v>46183</x:v>
      </x:c>
      <x:c r="H488" s="16" t="str">
        <x:v>06/2026</x:v>
      </x:c>
      <x:c r="I488" s="40" t="n">
        <x:v>944.54</x:v>
      </x:c>
      <x:c r="J488" s="40" t="n">
        <x:v>987.31</x:v>
      </x:c>
      <x:c r="K488" s="16" t="str">
        <x:v>Novo</x:v>
      </x:c>
      <x:c r="L488" s="16" t="str">
        <x:v>Em aberto</x:v>
      </x:c>
      <x:c r="M488" s="16" t="str">
        <x:v>1403cd66-f580-43ee-b2dc-60886c77c052</x:v>
      </x:c>
      <x:c r="N488" s="41" t="str"/>
    </x:row>
    <x:row r="489">
      <x:c r="A489" s="37" t="str">
        <x:f>"000303"</x:f>
        <x:v>000303</x:v>
      </x:c>
      <x:c r="B489" s="38" t="str">
        <x:f>"0"</x:f>
        <x:v>0</x:v>
      </x:c>
      <x:c r="C489" s="38" t="str">
        <x:v>MARIA ALICE CAZONI DEL PRIORE</x:v>
      </x:c>
      <x:c r="D489" s="38" t="str">
        <x:f>"29813747889"</x:f>
        <x:v>29813747889</x:v>
      </x:c>
      <x:c r="E489" s="38" t="str">
        <x:f>""</x:f>
      </x:c>
      <x:c r="F489" s="38" t="str">
        <x:v>priorealexandre3@gmail.com</x:v>
      </x:c>
      <x:c r="G489" s="39" t="n">
        <x:v>46213</x:v>
      </x:c>
      <x:c r="H489" s="16" t="str">
        <x:v>07/2026</x:v>
      </x:c>
      <x:c r="I489" s="40" t="n">
        <x:v>672.98</x:v>
      </x:c>
      <x:c r="J489" s="40" t="n">
        <x:v>693.7</x:v>
      </x:c>
      <x:c r="K489" s="16" t="str">
        <x:v>Novo</x:v>
      </x:c>
      <x:c r="L489" s="16" t="str">
        <x:v>Em aberto</x:v>
      </x:c>
      <x:c r="M489" s="16" t="str">
        <x:v>a86130e3-c3a1-477a-8f7a-bab01d939b45</x:v>
      </x:c>
      <x:c r="N489" s="41" t="str"/>
    </x:row>
    <x:row r="490">
      <x:c r="A490" s="37" t="str">
        <x:f>"000511"</x:f>
        <x:v>000511</x:v>
      </x:c>
      <x:c r="B490" s="38" t="str">
        <x:f>"0"</x:f>
        <x:v>0</x:v>
      </x:c>
      <x:c r="C490" s="38" t="str">
        <x:v>LUANA VALESKA FELICIANO</x:v>
      </x:c>
      <x:c r="D490" s="38" t="str">
        <x:f>"48299212855"</x:f>
        <x:v>48299212855</x:v>
      </x:c>
      <x:c r="E490" s="38" t="str">
        <x:f>""</x:f>
      </x:c>
      <x:c r="F490" s="38" t="str">
        <x:v>valeskafeliciano@hotmail.com</x:v>
      </x:c>
      <x:c r="G490" s="39" t="n">
        <x:v>46063</x:v>
      </x:c>
      <x:c r="H490" s="16" t="str">
        <x:v>02/2026</x:v>
      </x:c>
      <x:c r="I490" s="40" t="n">
        <x:v>825.64</x:v>
      </x:c>
      <x:c r="J490" s="40" t="n">
        <x:v>922.16</x:v>
      </x:c>
      <x:c r="K490" s="16" t="str">
        <x:v>Novo</x:v>
      </x:c>
      <x:c r="L490" s="16" t="str">
        <x:v>Em aberto</x:v>
      </x:c>
      <x:c r="M490" s="16" t="str">
        <x:v>3d7772b4-9de4-4ad1-87f9-3332d6ff9c87</x:v>
      </x:c>
      <x:c r="N490" s="41" t="str"/>
    </x:row>
    <x:row r="491">
      <x:c r="A491" s="37" t="str">
        <x:f>"000511"</x:f>
        <x:v>000511</x:v>
      </x:c>
      <x:c r="B491" s="38" t="str">
        <x:f>"0"</x:f>
        <x:v>0</x:v>
      </x:c>
      <x:c r="C491" s="38" t="str">
        <x:v>LUANA VALESKA FELICIANO</x:v>
      </x:c>
      <x:c r="D491" s="38" t="str">
        <x:f>"48299212855"</x:f>
        <x:v>48299212855</x:v>
      </x:c>
      <x:c r="E491" s="38" t="str">
        <x:f>""</x:f>
      </x:c>
      <x:c r="F491" s="38" t="str">
        <x:v>valeskafeliciano@hotmail.com</x:v>
      </x:c>
      <x:c r="G491" s="39" t="n">
        <x:v>46091</x:v>
      </x:c>
      <x:c r="H491" s="16" t="str">
        <x:v>03/2026</x:v>
      </x:c>
      <x:c r="I491" s="40" t="n">
        <x:v>874.83</x:v>
      </x:c>
      <x:c r="J491" s="40" t="n">
        <x:v>959.81</x:v>
      </x:c>
      <x:c r="K491" s="16" t="str">
        <x:v>Novo</x:v>
      </x:c>
      <x:c r="L491" s="16" t="str">
        <x:v>Em aberto</x:v>
      </x:c>
      <x:c r="M491" s="16" t="str">
        <x:v>a2f6e2df-50a2-40a8-83bf-f4caba0dd2df</x:v>
      </x:c>
      <x:c r="N491" s="41" t="str"/>
    </x:row>
    <x:row r="492">
      <x:c r="A492" s="37" t="str">
        <x:f>"000801"</x:f>
        <x:v>000801</x:v>
      </x:c>
      <x:c r="B492" s="38" t="str">
        <x:f>"0"</x:f>
        <x:v>0</x:v>
      </x:c>
      <x:c r="C492" s="38" t="str">
        <x:v>ANTONIO CABUS</x:v>
      </x:c>
      <x:c r="D492" s="38" t="str">
        <x:f>"09169540802"</x:f>
        <x:v>09169540802</x:v>
      </x:c>
      <x:c r="E492" s="38" t="str">
        <x:f>""</x:f>
      </x:c>
      <x:c r="F492" s="38" t="str">
        <x:v>antonio_argiles@hotmail.com</x:v>
      </x:c>
      <x:c r="G492" s="39" t="n">
        <x:v>46032</x:v>
      </x:c>
      <x:c r="H492" s="16" t="str">
        <x:v>01/2026</x:v>
      </x:c>
      <x:c r="I492" s="40" t="n">
        <x:v>719.58</x:v>
      </x:c>
      <x:c r="J492" s="40" t="n">
        <x:v>812.9</x:v>
      </x:c>
      <x:c r="K492" s="16" t="str">
        <x:v>Novo</x:v>
      </x:c>
      <x:c r="L492" s="16" t="str">
        <x:v>Em aberto</x:v>
      </x:c>
      <x:c r="M492" s="16" t="str">
        <x:v>1f21596b-91af-475c-9048-3dbf04955c7b</x:v>
      </x:c>
      <x:c r="N492" s="41" t="str"/>
    </x:row>
    <x:row r="493">
      <x:c r="A493" s="37" t="str">
        <x:f>"000801"</x:f>
        <x:v>000801</x:v>
      </x:c>
      <x:c r="B493" s="38" t="str">
        <x:f>"0"</x:f>
        <x:v>0</x:v>
      </x:c>
      <x:c r="C493" s="38" t="str">
        <x:v>ANTONIO CABUS</x:v>
      </x:c>
      <x:c r="D493" s="38" t="str">
        <x:f>"09169540802"</x:f>
        <x:v>09169540802</x:v>
      </x:c>
      <x:c r="E493" s="38" t="str">
        <x:f>""</x:f>
      </x:c>
      <x:c r="F493" s="38" t="str">
        <x:v>antonio_argiles@hotmail.com</x:v>
      </x:c>
      <x:c r="G493" s="39" t="n">
        <x:v>46063</x:v>
      </x:c>
      <x:c r="H493" s="16" t="str">
        <x:v>02/2026</x:v>
      </x:c>
      <x:c r="I493" s="40" t="n">
        <x:v>738.69</x:v>
      </x:c>
      <x:c r="J493" s="40" t="n">
        <x:v>825.04</x:v>
      </x:c>
      <x:c r="K493" s="16" t="str">
        <x:v>Novo</x:v>
      </x:c>
      <x:c r="L493" s="16" t="str">
        <x:v>Em aberto</x:v>
      </x:c>
      <x:c r="M493" s="16" t="str">
        <x:v>ff6b96d6-3a6a-439e-b4e2-1debce0a615e</x:v>
      </x:c>
      <x:c r="N493" s="41" t="str"/>
    </x:row>
    <x:row r="494">
      <x:c r="A494" s="37" t="str">
        <x:f>"000801"</x:f>
        <x:v>000801</x:v>
      </x:c>
      <x:c r="B494" s="38" t="str">
        <x:f>"0"</x:f>
        <x:v>0</x:v>
      </x:c>
      <x:c r="C494" s="38" t="str">
        <x:v>ANTONIO CABUS</x:v>
      </x:c>
      <x:c r="D494" s="38" t="str">
        <x:f>"09169540802"</x:f>
        <x:v>09169540802</x:v>
      </x:c>
      <x:c r="E494" s="38" t="str">
        <x:f>""</x:f>
      </x:c>
      <x:c r="F494" s="38" t="str">
        <x:v>antonio_argiles@hotmail.com</x:v>
      </x:c>
      <x:c r="G494" s="39" t="n">
        <x:v>46091</x:v>
      </x:c>
      <x:c r="H494" s="16" t="str">
        <x:v>03/2026</x:v>
      </x:c>
      <x:c r="I494" s="40" t="n">
        <x:v>773.49</x:v>
      </x:c>
      <x:c r="J494" s="40" t="n">
        <x:v>848.63</x:v>
      </x:c>
      <x:c r="K494" s="16" t="str">
        <x:v>Novo</x:v>
      </x:c>
      <x:c r="L494" s="16" t="str">
        <x:v>Em aberto</x:v>
      </x:c>
      <x:c r="M494" s="16" t="str">
        <x:v>7f9564bc-3723-4bd6-b46b-f4bc22627621</x:v>
      </x:c>
      <x:c r="N494" s="41" t="str"/>
    </x:row>
    <x:row r="495">
      <x:c r="A495" s="37" t="str">
        <x:f>"000801"</x:f>
        <x:v>000801</x:v>
      </x:c>
      <x:c r="B495" s="38" t="str">
        <x:f>"0"</x:f>
        <x:v>0</x:v>
      </x:c>
      <x:c r="C495" s="38" t="str">
        <x:v>ANTONIO CABUS</x:v>
      </x:c>
      <x:c r="D495" s="38" t="str">
        <x:f>"09169540802"</x:f>
        <x:v>09169540802</x:v>
      </x:c>
      <x:c r="E495" s="38" t="str">
        <x:f>""</x:f>
      </x:c>
      <x:c r="F495" s="38" t="str">
        <x:v>antonio_argiles@hotmail.com</x:v>
      </x:c>
      <x:c r="G495" s="39" t="n">
        <x:v>46122</x:v>
      </x:c>
      <x:c r="H495" s="16" t="str">
        <x:v>04/2026</x:v>
      </x:c>
      <x:c r="I495" s="40" t="n">
        <x:v>969.97</x:v>
      </x:c>
      <x:c r="J495" s="40" t="n">
        <x:v>1049.45</x:v>
      </x:c>
      <x:c r="K495" s="16" t="str">
        <x:v>Novo</x:v>
      </x:c>
      <x:c r="L495" s="16" t="str">
        <x:v>Em aberto</x:v>
      </x:c>
      <x:c r="M495" s="16" t="str">
        <x:v>51b916d6-e081-4af7-90cc-8b7546cf4105</x:v>
      </x:c>
      <x:c r="N495" s="41" t="str"/>
    </x:row>
    <x:row r="496">
      <x:c r="A496" s="37" t="str">
        <x:f>"000801"</x:f>
        <x:v>000801</x:v>
      </x:c>
      <x:c r="B496" s="38" t="str">
        <x:f>"0"</x:f>
        <x:v>0</x:v>
      </x:c>
      <x:c r="C496" s="38" t="str">
        <x:v>ANTONIO CABUS</x:v>
      </x:c>
      <x:c r="D496" s="38" t="str">
        <x:f>"09169540802"</x:f>
        <x:v>09169540802</x:v>
      </x:c>
      <x:c r="E496" s="38" t="str">
        <x:f>""</x:f>
      </x:c>
      <x:c r="F496" s="38" t="str">
        <x:v>antonio_argiles@hotmail.com</x:v>
      </x:c>
      <x:c r="G496" s="39" t="n">
        <x:v>46152</x:v>
      </x:c>
      <x:c r="H496" s="16" t="str">
        <x:v>05/2026</x:v>
      </x:c>
      <x:c r="I496" s="40" t="n">
        <x:v>1067.03</x:v>
      </x:c>
      <x:c r="J496" s="40" t="n">
        <x:v>1133.26</x:v>
      </x:c>
      <x:c r="K496" s="16" t="str">
        <x:v>Novo</x:v>
      </x:c>
      <x:c r="L496" s="16" t="str">
        <x:v>Em aberto</x:v>
      </x:c>
      <x:c r="M496" s="16" t="str">
        <x:v>a2e94df1-2678-4f48-8065-792812d0dee2</x:v>
      </x:c>
      <x:c r="N496" s="41" t="str"/>
    </x:row>
    <x:row r="497">
      <x:c r="A497" s="37" t="str">
        <x:f>"000801"</x:f>
        <x:v>000801</x:v>
      </x:c>
      <x:c r="B497" s="38" t="str">
        <x:f>"0"</x:f>
        <x:v>0</x:v>
      </x:c>
      <x:c r="C497" s="38" t="str">
        <x:v>ANTONIO CABUS</x:v>
      </x:c>
      <x:c r="D497" s="38" t="str">
        <x:f>"09169540802"</x:f>
        <x:v>09169540802</x:v>
      </x:c>
      <x:c r="E497" s="38" t="str">
        <x:f>""</x:f>
      </x:c>
      <x:c r="F497" s="38" t="str">
        <x:v>antonio_argiles@hotmail.com</x:v>
      </x:c>
      <x:c r="G497" s="39" t="n">
        <x:v>46183</x:v>
      </x:c>
      <x:c r="H497" s="16" t="str">
        <x:v>06/2026</x:v>
      </x:c>
      <x:c r="I497" s="40" t="n">
        <x:v>1020.21</x:v>
      </x:c>
      <x:c r="J497" s="40" t="n">
        <x:v>1066.41</x:v>
      </x:c>
      <x:c r="K497" s="16" t="str">
        <x:v>Novo</x:v>
      </x:c>
      <x:c r="L497" s="16" t="str">
        <x:v>Em aberto</x:v>
      </x:c>
      <x:c r="M497" s="16" t="str">
        <x:v>6d73bf48-0fd8-4634-b3f7-3f0ea3703297</x:v>
      </x:c>
      <x:c r="N497" s="41" t="str"/>
    </x:row>
    <x:row r="498">
      <x:c r="A498" s="37" t="str">
        <x:f>"000801"</x:f>
        <x:v>000801</x:v>
      </x:c>
      <x:c r="B498" s="38" t="str">
        <x:f>"0"</x:f>
        <x:v>0</x:v>
      </x:c>
      <x:c r="C498" s="38" t="str">
        <x:v>ANTONIO CABUS</x:v>
      </x:c>
      <x:c r="D498" s="38" t="str">
        <x:f>"09169540802"</x:f>
        <x:v>09169540802</x:v>
      </x:c>
      <x:c r="E498" s="38" t="str">
        <x:f>""</x:f>
      </x:c>
      <x:c r="F498" s="38" t="str">
        <x:v>antonio_argiles@hotmail.com</x:v>
      </x:c>
      <x:c r="G498" s="39" t="n">
        <x:v>46213</x:v>
      </x:c>
      <x:c r="H498" s="16" t="str">
        <x:v>07/2026</x:v>
      </x:c>
      <x:c r="I498" s="40" t="n">
        <x:v>726.89</x:v>
      </x:c>
      <x:c r="J498" s="40" t="n">
        <x:v>749.29</x:v>
      </x:c>
      <x:c r="K498" s="16" t="str">
        <x:v>Novo</x:v>
      </x:c>
      <x:c r="L498" s="16" t="str">
        <x:v>Em aberto</x:v>
      </x:c>
      <x:c r="M498" s="16" t="str">
        <x:v>34f3e401-3d84-4660-83ea-862f1f3c5743</x:v>
      </x:c>
      <x:c r="N498" s="41" t="str"/>
    </x:row>
    <x:row r="499">
      <x:c r="A499" s="37" t="str">
        <x:f>"000802"</x:f>
        <x:v>000802</x:v>
      </x:c>
      <x:c r="B499" s="38" t="str">
        <x:f>"0"</x:f>
        <x:v>0</x:v>
      </x:c>
      <x:c r="C499" s="38" t="str">
        <x:v>MAURICIO GRUENWALDT / NATHALIA C. B</x:v>
      </x:c>
      <x:c r="D499" s="38" t="str">
        <x:f>"35635268854"</x:f>
        <x:v>35635268854</x:v>
      </x:c>
      <x:c r="E499" s="38" t="str">
        <x:f>"11979999984"</x:f>
        <x:v>11979999984</x:v>
      </x:c>
      <x:c r="F499" s="38" t="str">
        <x:v>mauspnascimento@gmail.com</x:v>
      </x:c>
      <x:c r="G499" s="39" t="n">
        <x:v>46091</x:v>
      </x:c>
      <x:c r="H499" s="16" t="str">
        <x:v>03/2026</x:v>
      </x:c>
      <x:c r="I499" s="40" t="n">
        <x:v>773.49</x:v>
      </x:c>
      <x:c r="J499" s="40" t="n">
        <x:v>848.63</x:v>
      </x:c>
      <x:c r="K499" s="16" t="str">
        <x:v>Novo</x:v>
      </x:c>
      <x:c r="L499" s="16" t="str">
        <x:v>Em aberto</x:v>
      </x:c>
      <x:c r="M499" s="16" t="str">
        <x:v>d1ec258d-ef74-4c89-ae8e-6fad9586ab82</x:v>
      </x:c>
      <x:c r="N499" s="41" t="str"/>
    </x:row>
    <x:row r="500">
      <x:c r="A500" s="37" t="str">
        <x:f>"000802"</x:f>
        <x:v>000802</x:v>
      </x:c>
      <x:c r="B500" s="38" t="str">
        <x:f>"0"</x:f>
        <x:v>0</x:v>
      </x:c>
      <x:c r="C500" s="38" t="str">
        <x:v>MAURICIO GRUENWALDT / NATHALIA C. B</x:v>
      </x:c>
      <x:c r="D500" s="38" t="str">
        <x:f>"35635268854"</x:f>
        <x:v>35635268854</x:v>
      </x:c>
      <x:c r="E500" s="38" t="str">
        <x:f>"11979999984"</x:f>
        <x:v>11979999984</x:v>
      </x:c>
      <x:c r="F500" s="38" t="str">
        <x:v>mauspnascimento@gmail.com</x:v>
      </x:c>
      <x:c r="G500" s="39" t="n">
        <x:v>46122</x:v>
      </x:c>
      <x:c r="H500" s="16" t="str">
        <x:v>04/2026</x:v>
      </x:c>
      <x:c r="I500" s="40" t="n">
        <x:v>969.97</x:v>
      </x:c>
      <x:c r="J500" s="40" t="n">
        <x:v>1049.45</x:v>
      </x:c>
      <x:c r="K500" s="16" t="str">
        <x:v>Novo</x:v>
      </x:c>
      <x:c r="L500" s="16" t="str">
        <x:v>Em aberto</x:v>
      </x:c>
      <x:c r="M500" s="16" t="str">
        <x:v>7e29a7e3-e6b2-42a6-a593-b8f7bce86d64</x:v>
      </x:c>
      <x:c r="N500" s="41" t="str"/>
    </x:row>
    <x:row r="501">
      <x:c r="A501" s="37" t="str">
        <x:f>"000802"</x:f>
        <x:v>000802</x:v>
      </x:c>
      <x:c r="B501" s="38" t="str">
        <x:f>"0"</x:f>
        <x:v>0</x:v>
      </x:c>
      <x:c r="C501" s="38" t="str">
        <x:v>MAURICIO GRUENWALDT / NATHALIA C. B</x:v>
      </x:c>
      <x:c r="D501" s="38" t="str">
        <x:f>"35635268854"</x:f>
        <x:v>35635268854</x:v>
      </x:c>
      <x:c r="E501" s="38" t="str">
        <x:f>"11979999984"</x:f>
        <x:v>11979999984</x:v>
      </x:c>
      <x:c r="F501" s="38" t="str">
        <x:v>mauspnascimento@gmail.com</x:v>
      </x:c>
      <x:c r="G501" s="39" t="n">
        <x:v>46152</x:v>
      </x:c>
      <x:c r="H501" s="16" t="str">
        <x:v>05/2026</x:v>
      </x:c>
      <x:c r="I501" s="40" t="n">
        <x:v>1067.03</x:v>
      </x:c>
      <x:c r="J501" s="40" t="n">
        <x:v>1133.26</x:v>
      </x:c>
      <x:c r="K501" s="16" t="str">
        <x:v>Novo</x:v>
      </x:c>
      <x:c r="L501" s="16" t="str">
        <x:v>Em aberto</x:v>
      </x:c>
      <x:c r="M501" s="16" t="str">
        <x:v>28f6d1e7-b3c4-4eb9-a468-5894bd2a1c77</x:v>
      </x:c>
      <x:c r="N501" s="41" t="str"/>
    </x:row>
    <x:row r="502">
      <x:c r="A502" s="37" t="str">
        <x:f>"000802"</x:f>
        <x:v>000802</x:v>
      </x:c>
      <x:c r="B502" s="38" t="str">
        <x:f>"0"</x:f>
        <x:v>0</x:v>
      </x:c>
      <x:c r="C502" s="38" t="str">
        <x:v>MAURICIO GRUENWALDT / NATHALIA C. B</x:v>
      </x:c>
      <x:c r="D502" s="38" t="str">
        <x:f>"35635268854"</x:f>
        <x:v>35635268854</x:v>
      </x:c>
      <x:c r="E502" s="38" t="str">
        <x:f>"11979999984"</x:f>
        <x:v>11979999984</x:v>
      </x:c>
      <x:c r="F502" s="38" t="str">
        <x:v>mauspnascimento@gmail.com</x:v>
      </x:c>
      <x:c r="G502" s="39" t="n">
        <x:v>46183</x:v>
      </x:c>
      <x:c r="H502" s="16" t="str">
        <x:v>06/2026</x:v>
      </x:c>
      <x:c r="I502" s="40" t="n">
        <x:v>1020.21</x:v>
      </x:c>
      <x:c r="J502" s="40" t="n">
        <x:v>1066.41</x:v>
      </x:c>
      <x:c r="K502" s="16" t="str">
        <x:v>Novo</x:v>
      </x:c>
      <x:c r="L502" s="16" t="str">
        <x:v>Em aberto</x:v>
      </x:c>
      <x:c r="M502" s="16" t="str">
        <x:v>30106a75-7a43-4a7f-bbda-2c62dbb2f80a</x:v>
      </x:c>
      <x:c r="N502" s="41" t="str"/>
    </x:row>
    <x:row r="503">
      <x:c r="A503" s="37" t="str">
        <x:f>"000804"</x:f>
        <x:v>000804</x:v>
      </x:c>
      <x:c r="B503" s="38" t="str">
        <x:f>"0"</x:f>
        <x:v>0</x:v>
      </x:c>
      <x:c r="C503" s="38" t="str">
        <x:v>DIEGO AVELINO DA SILVA</x:v>
      </x:c>
      <x:c r="D503" s="38" t="str">
        <x:f>"38765871820"</x:f>
        <x:v>38765871820</x:v>
      </x:c>
      <x:c r="E503" s="38" t="str">
        <x:f>""</x:f>
      </x:c>
      <x:c r="F503" s="38" t="str">
        <x:v>d.avelino@outlook.com</x:v>
      </x:c>
      <x:c r="G503" s="39" t="n">
        <x:v>46091</x:v>
      </x:c>
      <x:c r="H503" s="16" t="str">
        <x:v>03/2026</x:v>
      </x:c>
      <x:c r="I503" s="40" t="n">
        <x:v>716.12</x:v>
      </x:c>
      <x:c r="J503" s="40" t="n">
        <x:v>785.7</x:v>
      </x:c>
      <x:c r="K503" s="16" t="str">
        <x:v>Novo</x:v>
      </x:c>
      <x:c r="L503" s="16" t="str">
        <x:v>Em aberto</x:v>
      </x:c>
      <x:c r="M503" s="16" t="str">
        <x:v>f8ea7418-7ba2-4d80-9056-2fa5066becd6</x:v>
      </x:c>
      <x:c r="N503" s="41" t="str"/>
    </x:row>
    <x:row r="504">
      <x:c r="A504" s="37" t="str">
        <x:f>"000805"</x:f>
        <x:v>000805</x:v>
      </x:c>
      <x:c r="B504" s="38" t="str">
        <x:f>"0"</x:f>
        <x:v>0</x:v>
      </x:c>
      <x:c r="C504" s="38" t="str">
        <x:v>ERICK LEONARDO CARRICO CAMARGO</x:v>
      </x:c>
      <x:c r="D504" s="38" t="str">
        <x:f>"43274046833"</x:f>
        <x:v>43274046833</x:v>
      </x:c>
      <x:c r="E504" s="38" t="str">
        <x:f>""</x:f>
      </x:c>
      <x:c r="F504" s="38" t="str">
        <x:v>erick@url.com.br</x:v>
      </x:c>
      <x:c r="G504" s="39" t="n">
        <x:v>46032</x:v>
      </x:c>
      <x:c r="H504" s="16" t="str">
        <x:v>01/2026</x:v>
      </x:c>
      <x:c r="I504" s="40" t="n">
        <x:v>404.9</x:v>
      </x:c>
      <x:c r="J504" s="40" t="n">
        <x:v>457.42</x:v>
      </x:c>
      <x:c r="K504" s="16" t="str">
        <x:v>Novo</x:v>
      </x:c>
      <x:c r="L504" s="16" t="str">
        <x:v>Em aberto</x:v>
      </x:c>
      <x:c r="M504" s="16" t="str">
        <x:v>f5f9f056-fb9b-4634-84fe-a4747c347c92</x:v>
      </x:c>
      <x:c r="N504" s="41" t="str"/>
    </x:row>
    <x:row r="505">
      <x:c r="A505" s="37" t="str">
        <x:f>"000805"</x:f>
        <x:v>000805</x:v>
      </x:c>
      <x:c r="B505" s="38" t="str">
        <x:f>"0"</x:f>
        <x:v>0</x:v>
      </x:c>
      <x:c r="C505" s="38" t="str">
        <x:v>ERICK LEONARDO CARRICO CAMARGO</x:v>
      </x:c>
      <x:c r="D505" s="38" t="str">
        <x:f>"43274046833"</x:f>
        <x:v>43274046833</x:v>
      </x:c>
      <x:c r="E505" s="38" t="str">
        <x:f>""</x:f>
      </x:c>
      <x:c r="F505" s="38" t="str">
        <x:v>erick@url.com.br</x:v>
      </x:c>
      <x:c r="G505" s="39" t="n">
        <x:v>46063</x:v>
      </x:c>
      <x:c r="H505" s="16" t="str">
        <x:v>02/2026</x:v>
      </x:c>
      <x:c r="I505" s="40" t="n">
        <x:v>414.67</x:v>
      </x:c>
      <x:c r="J505" s="40" t="n">
        <x:v>463.14</x:v>
      </x:c>
      <x:c r="K505" s="16" t="str">
        <x:v>Novo</x:v>
      </x:c>
      <x:c r="L505" s="16" t="str">
        <x:v>Em aberto</x:v>
      </x:c>
      <x:c r="M505" s="16" t="str">
        <x:v>a38fcb0f-422e-4932-abbf-7b18c119d5f3</x:v>
      </x:c>
      <x:c r="N505" s="41" t="str"/>
    </x:row>
    <x:row r="506">
      <x:c r="A506" s="37" t="str">
        <x:f>"000805"</x:f>
        <x:v>000805</x:v>
      </x:c>
      <x:c r="B506" s="38" t="str">
        <x:f>"0"</x:f>
        <x:v>0</x:v>
      </x:c>
      <x:c r="C506" s="38" t="str">
        <x:v>ERICK LEONARDO CARRICO CAMARGO</x:v>
      </x:c>
      <x:c r="D506" s="38" t="str">
        <x:f>"43274046833"</x:f>
        <x:v>43274046833</x:v>
      </x:c>
      <x:c r="E506" s="38" t="str">
        <x:f>""</x:f>
      </x:c>
      <x:c r="F506" s="38" t="str">
        <x:v>erick@url.com.br</x:v>
      </x:c>
      <x:c r="G506" s="39" t="n">
        <x:v>46091</x:v>
      </x:c>
      <x:c r="H506" s="16" t="str">
        <x:v>03/2026</x:v>
      </x:c>
      <x:c r="I506" s="40" t="n">
        <x:v>395.81</x:v>
      </x:c>
      <x:c r="J506" s="40" t="n">
        <x:v>434.25</x:v>
      </x:c>
      <x:c r="K506" s="16" t="str">
        <x:v>Novo</x:v>
      </x:c>
      <x:c r="L506" s="16" t="str">
        <x:v>Em aberto</x:v>
      </x:c>
      <x:c r="M506" s="16" t="str">
        <x:v>de169aa0-7ae6-4a2d-a958-d311d77f7765</x:v>
      </x:c>
      <x:c r="N506" s="41" t="str"/>
    </x:row>
    <x:row r="507">
      <x:c r="A507" s="37" t="str">
        <x:f>"000805"</x:f>
        <x:v>000805</x:v>
      </x:c>
      <x:c r="B507" s="38" t="str">
        <x:f>"0"</x:f>
        <x:v>0</x:v>
      </x:c>
      <x:c r="C507" s="38" t="str">
        <x:v>ERICK LEONARDO CARRICO CAMARGO</x:v>
      </x:c>
      <x:c r="D507" s="38" t="str">
        <x:f>"43274046833"</x:f>
        <x:v>43274046833</x:v>
      </x:c>
      <x:c r="E507" s="38" t="str">
        <x:f>""</x:f>
      </x:c>
      <x:c r="F507" s="38" t="str">
        <x:v>erick@url.com.br</x:v>
      </x:c>
      <x:c r="G507" s="39" t="n">
        <x:v>46122</x:v>
      </x:c>
      <x:c r="H507" s="16" t="str">
        <x:v>04/2026</x:v>
      </x:c>
      <x:c r="I507" s="40" t="n">
        <x:v>496.35</x:v>
      </x:c>
      <x:c r="J507" s="40" t="n">
        <x:v>537.03</x:v>
      </x:c>
      <x:c r="K507" s="16" t="str">
        <x:v>Novo</x:v>
      </x:c>
      <x:c r="L507" s="16" t="str">
        <x:v>Em aberto</x:v>
      </x:c>
      <x:c r="M507" s="16" t="str">
        <x:v>98c5abcf-dae0-4131-a1ae-b228ad9673cf</x:v>
      </x:c>
      <x:c r="N507" s="41" t="str"/>
    </x:row>
    <x:row r="508">
      <x:c r="A508" s="37" t="str">
        <x:f>"000805"</x:f>
        <x:v>000805</x:v>
      </x:c>
      <x:c r="B508" s="38" t="str">
        <x:f>"0"</x:f>
        <x:v>0</x:v>
      </x:c>
      <x:c r="C508" s="38" t="str">
        <x:v>ERICK LEONARDO CARRICO CAMARGO</x:v>
      </x:c>
      <x:c r="D508" s="38" t="str">
        <x:f>"43274046833"</x:f>
        <x:v>43274046833</x:v>
      </x:c>
      <x:c r="E508" s="38" t="str">
        <x:f>""</x:f>
      </x:c>
      <x:c r="F508" s="38" t="str">
        <x:v>erick@url.com.br</x:v>
      </x:c>
      <x:c r="G508" s="39" t="n">
        <x:v>46152</x:v>
      </x:c>
      <x:c r="H508" s="16" t="str">
        <x:v>05/2026</x:v>
      </x:c>
      <x:c r="I508" s="40" t="n">
        <x:v>546.02</x:v>
      </x:c>
      <x:c r="J508" s="40" t="n">
        <x:v>579.91</x:v>
      </x:c>
      <x:c r="K508" s="16" t="str">
        <x:v>Novo</x:v>
      </x:c>
      <x:c r="L508" s="16" t="str">
        <x:v>Em aberto</x:v>
      </x:c>
      <x:c r="M508" s="16" t="str">
        <x:v>1e6efd84-083e-4752-bcc9-4ea16678c928</x:v>
      </x:c>
      <x:c r="N508" s="41" t="str"/>
    </x:row>
    <x:row r="509">
      <x:c r="A509" s="37" t="str">
        <x:f>"000805"</x:f>
        <x:v>000805</x:v>
      </x:c>
      <x:c r="B509" s="38" t="str">
        <x:f>"0"</x:f>
        <x:v>0</x:v>
      </x:c>
      <x:c r="C509" s="38" t="str">
        <x:v>ERICK LEONARDO CARRICO CAMARGO</x:v>
      </x:c>
      <x:c r="D509" s="38" t="str">
        <x:f>"43274046833"</x:f>
        <x:v>43274046833</x:v>
      </x:c>
      <x:c r="E509" s="38" t="str">
        <x:f>""</x:f>
      </x:c>
      <x:c r="F509" s="38" t="str">
        <x:v>erick@url.com.br</x:v>
      </x:c>
      <x:c r="G509" s="39" t="n">
        <x:v>46183</x:v>
      </x:c>
      <x:c r="H509" s="16" t="str">
        <x:v>06/2026</x:v>
      </x:c>
      <x:c r="I509" s="40" t="n">
        <x:v>522.06</x:v>
      </x:c>
      <x:c r="J509" s="40" t="n">
        <x:v>545.69</x:v>
      </x:c>
      <x:c r="K509" s="16" t="str">
        <x:v>Novo</x:v>
      </x:c>
      <x:c r="L509" s="16" t="str">
        <x:v>Em aberto</x:v>
      </x:c>
      <x:c r="M509" s="16" t="str">
        <x:v>76b7d118-47fb-40ef-8990-88e056eda280</x:v>
      </x:c>
      <x:c r="N509" s="41" t="str"/>
    </x:row>
    <x:row r="510">
      <x:c r="A510" s="37" t="str">
        <x:f>"000805"</x:f>
        <x:v>000805</x:v>
      </x:c>
      <x:c r="B510" s="38" t="str">
        <x:f>"0"</x:f>
        <x:v>0</x:v>
      </x:c>
      <x:c r="C510" s="38" t="str">
        <x:v>ERICK LEONARDO CARRICO CAMARGO</x:v>
      </x:c>
      <x:c r="D510" s="38" t="str">
        <x:f>"43274046833"</x:f>
        <x:v>43274046833</x:v>
      </x:c>
      <x:c r="E510" s="38" t="str">
        <x:f>""</x:f>
      </x:c>
      <x:c r="F510" s="38" t="str">
        <x:v>erick@url.com.br</x:v>
      </x:c>
      <x:c r="G510" s="39" t="n">
        <x:v>46213</x:v>
      </x:c>
      <x:c r="H510" s="16" t="str">
        <x:v>07/2026</x:v>
      </x:c>
      <x:c r="I510" s="40" t="n">
        <x:v>371.97</x:v>
      </x:c>
      <x:c r="J510" s="40" t="n">
        <x:v>383.44</x:v>
      </x:c>
      <x:c r="K510" s="16" t="str">
        <x:v>Novo</x:v>
      </x:c>
      <x:c r="L510" s="16" t="str">
        <x:v>Em aberto</x:v>
      </x:c>
      <x:c r="M510" s="16" t="str">
        <x:v>89f879fd-2c2b-40e8-9a31-b0a689f62d0a</x:v>
      </x:c>
      <x:c r="N510" s="41" t="str"/>
    </x:row>
    <x:row r="511">
      <x:c r="A511" s="37" t="str">
        <x:f>"001112"</x:f>
        <x:v>001112</x:v>
      </x:c>
      <x:c r="B511" s="38" t="str">
        <x:f>"0"</x:f>
        <x:v>0</x:v>
      </x:c>
      <x:c r="C511" s="38" t="str">
        <x:v>VANESSA GARCIA MARTINS BENTO</x:v>
      </x:c>
      <x:c r="D511" s="38" t="str">
        <x:f>"35264468818"</x:f>
        <x:v>35264468818</x:v>
      </x:c>
      <x:c r="E511" s="38" t="str">
        <x:f>""</x:f>
      </x:c>
      <x:c r="F511" s="38" t="str">
        <x:v>vanessa1garciamoda@gmail.com</x:v>
      </x:c>
      <x:c r="G511" s="39" t="n">
        <x:v>46213</x:v>
      </x:c>
      <x:c r="H511" s="16" t="str">
        <x:v>07/2026</x:v>
      </x:c>
      <x:c r="I511" s="40" t="n">
        <x:v>822.13</x:v>
      </x:c>
      <x:c r="J511" s="40" t="n">
        <x:v>847.45</x:v>
      </x:c>
      <x:c r="K511" s="16" t="str">
        <x:v>Novo</x:v>
      </x:c>
      <x:c r="L511" s="16" t="str">
        <x:v>Em aberto</x:v>
      </x:c>
      <x:c r="M511" s="16" t="str">
        <x:v>3ef3c111-dc4e-4dee-ab80-277058241f93</x:v>
      </x:c>
      <x:c r="N511" s="41" t="str"/>
    </x:row>
    <x:row r="512">
      <x:c r="A512" s="37" t="str">
        <x:f>"001208"</x:f>
        <x:v>001208</x:v>
      </x:c>
      <x:c r="B512" s="38" t="str">
        <x:f>"0"</x:f>
        <x:v>0</x:v>
      </x:c>
      <x:c r="C512" s="38" t="str">
        <x:v>CELINA GOMES PAVRET</x:v>
      </x:c>
      <x:c r="D512" s="38" t="str">
        <x:f>"46071881820"</x:f>
        <x:v>46071881820</x:v>
      </x:c>
      <x:c r="E512" s="38" t="str">
        <x:f>""</x:f>
      </x:c>
      <x:c r="F512" s="38" t="str">
        <x:v>pavret77@gmail.com</x:v>
      </x:c>
      <x:c r="G512" s="39" t="n">
        <x:v>46213</x:v>
      </x:c>
      <x:c r="H512" s="16" t="str">
        <x:v>07/2026</x:v>
      </x:c>
      <x:c r="I512" s="40" t="n">
        <x:v>371.97</x:v>
      </x:c>
      <x:c r="J512" s="40" t="n">
        <x:v>383.44</x:v>
      </x:c>
      <x:c r="K512" s="16" t="str">
        <x:v>Novo</x:v>
      </x:c>
      <x:c r="L512" s="16" t="str">
        <x:v>Em aberto</x:v>
      </x:c>
      <x:c r="M512" s="16" t="str">
        <x:v>d144d0a4-c4fb-4ff5-b1c4-b86c3938e6fc</x:v>
      </x:c>
      <x:c r="N512" s="41" t="str"/>
    </x:row>
    <x:row r="513">
      <x:c r="A513" s="37" t="str">
        <x:f>"001306"</x:f>
        <x:v>001306</x:v>
      </x:c>
      <x:c r="B513" s="38" t="str">
        <x:f>"0"</x:f>
        <x:v>0</x:v>
      </x:c>
      <x:c r="C513" s="38" t="str">
        <x:v>MARCOS COSTA / DARLAINE COSTA</x:v>
      </x:c>
      <x:c r="D513" s="38" t="str">
        <x:f>"26028063827"</x:f>
        <x:v>26028063827</x:v>
      </x:c>
      <x:c r="E513" s="38" t="str">
        <x:f>"11971420788"</x:f>
        <x:v>11971420788</x:v>
      </x:c>
      <x:c r="F513" s="38" t="str">
        <x:v>darlainecosta2@gmail.com</x:v>
      </x:c>
      <x:c r="G513" s="39" t="n">
        <x:v>46213</x:v>
      </x:c>
      <x:c r="H513" s="16" t="str">
        <x:v>07/2026</x:v>
      </x:c>
      <x:c r="I513" s="40" t="n">
        <x:v>371.97</x:v>
      </x:c>
      <x:c r="J513" s="40" t="n">
        <x:v>383.44</x:v>
      </x:c>
      <x:c r="K513" s="16" t="str">
        <x:v>Novo</x:v>
      </x:c>
      <x:c r="L513" s="16" t="str">
        <x:v>Em aberto</x:v>
      </x:c>
      <x:c r="M513" s="16" t="str">
        <x:v>ab0d34e1-05ba-4706-9fa4-1162d3a3a0f5</x:v>
      </x:c>
      <x:c r="N513" s="41" t="str"/>
    </x:row>
    <x:row r="514">
      <x:c r="A514" s="37" t="str">
        <x:f>"001405"</x:f>
        <x:v>001405</x:v>
      </x:c>
      <x:c r="B514" s="38" t="str">
        <x:f>"0"</x:f>
        <x:v>0</x:v>
      </x:c>
      <x:c r="C514" s="38" t="str">
        <x:v>OSMAR LIMA DA SILVA</x:v>
      </x:c>
      <x:c r="D514" s="38" t="str">
        <x:f>"32890313816"</x:f>
        <x:v>32890313816</x:v>
      </x:c>
      <x:c r="E514" s="38" t="str">
        <x:f>""</x:f>
      </x:c>
      <x:c r="F514" s="38" t="str">
        <x:v>osmararcondicionado@gmail.com</x:v>
      </x:c>
      <x:c r="G514" s="39" t="n">
        <x:v>46032</x:v>
      </x:c>
      <x:c r="H514" s="16" t="str">
        <x:v>01/2026</x:v>
      </x:c>
      <x:c r="I514" s="40" t="n">
        <x:v>485.87</x:v>
      </x:c>
      <x:c r="J514" s="40" t="n">
        <x:v>548.87</x:v>
      </x:c>
      <x:c r="K514" s="16" t="str">
        <x:v>Novo</x:v>
      </x:c>
      <x:c r="L514" s="16" t="str">
        <x:v>Em aberto</x:v>
      </x:c>
      <x:c r="M514" s="16" t="str">
        <x:v>f3359984-fa50-4863-86e2-9df5111718b4</x:v>
      </x:c>
      <x:c r="N514" s="41" t="str"/>
    </x:row>
    <x:row r="515">
      <x:c r="A515" s="37" t="str">
        <x:f>"001405"</x:f>
        <x:v>001405</x:v>
      </x:c>
      <x:c r="B515" s="38" t="str">
        <x:f>"0"</x:f>
        <x:v>0</x:v>
      </x:c>
      <x:c r="C515" s="38" t="str">
        <x:v>OSMAR LIMA DA SILVA</x:v>
      </x:c>
      <x:c r="D515" s="38" t="str">
        <x:f>"32890313816"</x:f>
        <x:v>32890313816</x:v>
      </x:c>
      <x:c r="E515" s="38" t="str">
        <x:f>""</x:f>
      </x:c>
      <x:c r="F515" s="38" t="str">
        <x:v>osmararcondicionado@gmail.com</x:v>
      </x:c>
      <x:c r="G515" s="39" t="n">
        <x:v>46213</x:v>
      </x:c>
      <x:c r="H515" s="16" t="str">
        <x:v>07/2026</x:v>
      </x:c>
      <x:c r="I515" s="40" t="n">
        <x:v>463.3</x:v>
      </x:c>
      <x:c r="J515" s="40" t="n">
        <x:v>477.6</x:v>
      </x:c>
      <x:c r="K515" s="16" t="str">
        <x:v>Novo</x:v>
      </x:c>
      <x:c r="L515" s="16" t="str">
        <x:v>Em aberto</x:v>
      </x:c>
      <x:c r="M515" s="16" t="str">
        <x:v>be8d8a78-0f36-4e83-8b13-3cd0ee1cc873</x:v>
      </x:c>
      <x:c r="N515" s="41" t="str"/>
    </x:row>
    <x:row r="516">
      <x:c r="A516" s="37" t="str">
        <x:f>"001503"</x:f>
        <x:v>001503</x:v>
      </x:c>
      <x:c r="B516" s="38" t="str">
        <x:f>"0"</x:f>
        <x:v>0</x:v>
      </x:c>
      <x:c r="C516" s="38" t="str">
        <x:v>ADEILSON RODRIGUES DA SILVA</x:v>
      </x:c>
      <x:c r="D516" s="38" t="str">
        <x:f>"03829439458"</x:f>
        <x:v>03829439458</x:v>
      </x:c>
      <x:c r="E516" s="38" t="str">
        <x:f>""</x:f>
      </x:c>
      <x:c r="F516" s="38" t="str">
        <x:v>radeilson601@gmail.com</x:v>
      </x:c>
      <x:c r="G516" s="39" t="n">
        <x:v>46032</x:v>
      </x:c>
      <x:c r="H516" s="16" t="str">
        <x:v>01/2026</x:v>
      </x:c>
      <x:c r="I516" s="40" t="n">
        <x:v>671.79</x:v>
      </x:c>
      <x:c r="J516" s="40" t="n">
        <x:v>758.93</x:v>
      </x:c>
      <x:c r="K516" s="16" t="str">
        <x:v>Novo</x:v>
      </x:c>
      <x:c r="L516" s="16" t="str">
        <x:v>Em aberto</x:v>
      </x:c>
      <x:c r="M516" s="16" t="str">
        <x:v>9b19924b-d26d-46ed-a96a-0bdb290da31a</x:v>
      </x:c>
      <x:c r="N516" s="41" t="str"/>
    </x:row>
    <x:row r="517">
      <x:c r="A517" s="37" t="str">
        <x:f>"001503"</x:f>
        <x:v>001503</x:v>
      </x:c>
      <x:c r="B517" s="38" t="str">
        <x:f>"0"</x:f>
        <x:v>0</x:v>
      </x:c>
      <x:c r="C517" s="38" t="str">
        <x:v>ADEILSON RODRIGUES DA SILVA</x:v>
      </x:c>
      <x:c r="D517" s="38" t="str">
        <x:f>"03829439458"</x:f>
        <x:v>03829439458</x:v>
      </x:c>
      <x:c r="E517" s="38" t="str">
        <x:f>""</x:f>
      </x:c>
      <x:c r="F517" s="38" t="str">
        <x:v>radeilson601@gmail.com</x:v>
      </x:c>
      <x:c r="G517" s="39" t="n">
        <x:v>46063</x:v>
      </x:c>
      <x:c r="H517" s="16" t="str">
        <x:v>02/2026</x:v>
      </x:c>
      <x:c r="I517" s="40" t="n">
        <x:v>689.48</x:v>
      </x:c>
      <x:c r="J517" s="40" t="n">
        <x:v>770.1</x:v>
      </x:c>
      <x:c r="K517" s="16" t="str">
        <x:v>Novo</x:v>
      </x:c>
      <x:c r="L517" s="16" t="str">
        <x:v>Em aberto</x:v>
      </x:c>
      <x:c r="M517" s="16" t="str">
        <x:v>d9790729-2fdc-4ac7-b559-8e3edadf547c</x:v>
      </x:c>
      <x:c r="N517" s="41" t="str"/>
    </x:row>
    <x:row r="518">
      <x:c r="A518" s="37" t="str">
        <x:f>"001503"</x:f>
        <x:v>001503</x:v>
      </x:c>
      <x:c r="B518" s="38" t="str">
        <x:f>"0"</x:f>
        <x:v>0</x:v>
      </x:c>
      <x:c r="C518" s="38" t="str">
        <x:v>ADEILSON RODRIGUES DA SILVA</x:v>
      </x:c>
      <x:c r="D518" s="38" t="str">
        <x:f>"03829439458"</x:f>
        <x:v>03829439458</x:v>
      </x:c>
      <x:c r="E518" s="38" t="str">
        <x:f>""</x:f>
      </x:c>
      <x:c r="F518" s="38" t="str">
        <x:v>radeilson601@gmail.com</x:v>
      </x:c>
      <x:c r="G518" s="39" t="n">
        <x:v>46091</x:v>
      </x:c>
      <x:c r="H518" s="16" t="str">
        <x:v>03/2026</x:v>
      </x:c>
      <x:c r="I518" s="40" t="n">
        <x:v>716.12</x:v>
      </x:c>
      <x:c r="J518" s="40" t="n">
        <x:v>785.7</x:v>
      </x:c>
      <x:c r="K518" s="16" t="str">
        <x:v>Novo</x:v>
      </x:c>
      <x:c r="L518" s="16" t="str">
        <x:v>Em aberto</x:v>
      </x:c>
      <x:c r="M518" s="16" t="str">
        <x:v>3c210254-ec05-4c1a-90ac-789abba48dd5</x:v>
      </x:c>
      <x:c r="N518" s="41" t="str"/>
    </x:row>
    <x:row r="519">
      <x:c r="A519" s="37" t="str">
        <x:f>"001503"</x:f>
        <x:v>001503</x:v>
      </x:c>
      <x:c r="B519" s="38" t="str">
        <x:f>"0"</x:f>
        <x:v>0</x:v>
      </x:c>
      <x:c r="C519" s="38" t="str">
        <x:v>ADEILSON RODRIGUES DA SILVA</x:v>
      </x:c>
      <x:c r="D519" s="38" t="str">
        <x:f>"03829439458"</x:f>
        <x:v>03829439458</x:v>
      </x:c>
      <x:c r="E519" s="38" t="str">
        <x:f>""</x:f>
      </x:c>
      <x:c r="F519" s="38" t="str">
        <x:v>radeilson601@gmail.com</x:v>
      </x:c>
      <x:c r="G519" s="39" t="n">
        <x:v>46122</x:v>
      </x:c>
      <x:c r="H519" s="16" t="str">
        <x:v>04/2026</x:v>
      </x:c>
      <x:c r="I519" s="40" t="n">
        <x:v>898.03</x:v>
      </x:c>
      <x:c r="J519" s="40" t="n">
        <x:v>971.62</x:v>
      </x:c>
      <x:c r="K519" s="16" t="str">
        <x:v>Novo</x:v>
      </x:c>
      <x:c r="L519" s="16" t="str">
        <x:v>Em aberto</x:v>
      </x:c>
      <x:c r="M519" s="16" t="str">
        <x:v>0f772137-f627-4600-9908-2159447389b0</x:v>
      </x:c>
      <x:c r="N519" s="41" t="str"/>
    </x:row>
    <x:row r="520">
      <x:c r="A520" s="37" t="str">
        <x:f>"001503"</x:f>
        <x:v>001503</x:v>
      </x:c>
      <x:c r="B520" s="38" t="str">
        <x:f>"0"</x:f>
        <x:v>0</x:v>
      </x:c>
      <x:c r="C520" s="38" t="str">
        <x:v>ADEILSON RODRIGUES DA SILVA</x:v>
      </x:c>
      <x:c r="D520" s="38" t="str">
        <x:f>"03829439458"</x:f>
        <x:v>03829439458</x:v>
      </x:c>
      <x:c r="E520" s="38" t="str">
        <x:f>""</x:f>
      </x:c>
      <x:c r="F520" s="38" t="str">
        <x:v>radeilson601@gmail.com</x:v>
      </x:c>
      <x:c r="G520" s="39" t="n">
        <x:v>46152</x:v>
      </x:c>
      <x:c r="H520" s="16" t="str">
        <x:v>05/2026</x:v>
      </x:c>
      <x:c r="I520" s="40" t="n">
        <x:v>987.89</x:v>
      </x:c>
      <x:c r="J520" s="40" t="n">
        <x:v>1049.24</x:v>
      </x:c>
      <x:c r="K520" s="16" t="str">
        <x:v>Novo</x:v>
      </x:c>
      <x:c r="L520" s="16" t="str">
        <x:v>Em aberto</x:v>
      </x:c>
      <x:c r="M520" s="16" t="str">
        <x:v>514e8a37-4bf9-4ac6-8c6b-1b799172a363</x:v>
      </x:c>
      <x:c r="N520" s="41" t="str"/>
    </x:row>
    <x:row r="521">
      <x:c r="A521" s="37" t="str">
        <x:f>"001503"</x:f>
        <x:v>001503</x:v>
      </x:c>
      <x:c r="B521" s="38" t="str">
        <x:f>"0"</x:f>
        <x:v>0</x:v>
      </x:c>
      <x:c r="C521" s="38" t="str">
        <x:v>ADEILSON RODRIGUES DA SILVA</x:v>
      </x:c>
      <x:c r="D521" s="38" t="str">
        <x:f>"03829439458"</x:f>
        <x:v>03829439458</x:v>
      </x:c>
      <x:c r="E521" s="38" t="str">
        <x:f>""</x:f>
      </x:c>
      <x:c r="F521" s="38" t="str">
        <x:v>radeilson601@gmail.com</x:v>
      </x:c>
      <x:c r="G521" s="39" t="n">
        <x:v>46183</x:v>
      </x:c>
      <x:c r="H521" s="16" t="str">
        <x:v>06/2026</x:v>
      </x:c>
      <x:c r="I521" s="40" t="n">
        <x:v>944.54</x:v>
      </x:c>
      <x:c r="J521" s="40" t="n">
        <x:v>987.31</x:v>
      </x:c>
      <x:c r="K521" s="16" t="str">
        <x:v>Novo</x:v>
      </x:c>
      <x:c r="L521" s="16" t="str">
        <x:v>Em aberto</x:v>
      </x:c>
      <x:c r="M521" s="16" t="str">
        <x:v>a4db4383-fe88-430e-a8af-f5a4fc709472</x:v>
      </x:c>
      <x:c r="N521" s="41" t="str"/>
    </x:row>
    <x:row r="522">
      <x:c r="A522" s="37" t="str">
        <x:f>"001802"</x:f>
        <x:v>001802</x:v>
      </x:c>
      <x:c r="B522" s="38" t="str">
        <x:f>"0"</x:f>
        <x:v>0</x:v>
      </x:c>
      <x:c r="C522" s="38" t="str">
        <x:v>AMANDA GIL KIRSTEN</x:v>
      </x:c>
      <x:c r="D522" s="38" t="str">
        <x:f>"44219788840"</x:f>
        <x:v>44219788840</x:v>
      </x:c>
      <x:c r="E522" s="38" t="str">
        <x:f>""</x:f>
      </x:c>
      <x:c r="F522" s="38" t="str">
        <x:v>agkirsten@hotmail.com</x:v>
      </x:c>
      <x:c r="G522" s="39" t="n">
        <x:v>46213</x:v>
      </x:c>
      <x:c r="H522" s="16" t="str">
        <x:v>07/2026</x:v>
      </x:c>
      <x:c r="I522" s="40" t="n">
        <x:v>463.3</x:v>
      </x:c>
      <x:c r="J522" s="40" t="n">
        <x:v>477.6</x:v>
      </x:c>
      <x:c r="K522" s="16" t="str">
        <x:v>Novo</x:v>
      </x:c>
      <x:c r="L522" s="16" t="str">
        <x:v>Em aberto</x:v>
      </x:c>
      <x:c r="M522" s="16" t="str">
        <x:v>7c172155-7e98-4728-ac85-a3e31f329b46</x:v>
      </x:c>
      <x:c r="N522" s="41" t="str"/>
    </x:row>
    <x:row r="523">
      <x:c r="A523" s="37" t="str">
        <x:f>"001809"</x:f>
        <x:v>001809</x:v>
      </x:c>
      <x:c r="B523" s="38" t="str">
        <x:f>"0"</x:f>
        <x:v>0</x:v>
      </x:c>
      <x:c r="C523" s="38" t="str">
        <x:v>ANTONIO FRANCISCO DE ALMEIDA</x:v>
      </x:c>
      <x:c r="D523" s="38" t="str">
        <x:f>"67242383820"</x:f>
        <x:v>67242383820</x:v>
      </x:c>
      <x:c r="E523" s="38" t="str">
        <x:f>""</x:f>
      </x:c>
      <x:c r="F523" s="38" t="str">
        <x:v>almeidafranciscosp@gmail.com</x:v>
      </x:c>
      <x:c r="G523" s="39" t="n">
        <x:v>46032</x:v>
      </x:c>
      <x:c r="H523" s="16" t="str">
        <x:v>01/2026</x:v>
      </x:c>
      <x:c r="I523" s="40" t="n">
        <x:v>671.79</x:v>
      </x:c>
      <x:c r="J523" s="40" t="n">
        <x:v>758.93</x:v>
      </x:c>
      <x:c r="K523" s="16" t="str">
        <x:v>Novo</x:v>
      </x:c>
      <x:c r="L523" s="16" t="str">
        <x:v>Em aberto</x:v>
      </x:c>
      <x:c r="M523" s="16" t="str">
        <x:v>f5636726-6f96-47bb-963d-82ed3840eff4</x:v>
      </x:c>
      <x:c r="N523" s="41" t="str"/>
    </x:row>
    <x:row r="524">
      <x:c r="A524" s="37" t="str">
        <x:f>"001809"</x:f>
        <x:v>001809</x:v>
      </x:c>
      <x:c r="B524" s="38" t="str">
        <x:f>"0"</x:f>
        <x:v>0</x:v>
      </x:c>
      <x:c r="C524" s="38" t="str">
        <x:v>ANTONIO FRANCISCO DE ALMEIDA</x:v>
      </x:c>
      <x:c r="D524" s="38" t="str">
        <x:f>"67242383820"</x:f>
        <x:v>67242383820</x:v>
      </x:c>
      <x:c r="E524" s="38" t="str">
        <x:f>""</x:f>
      </x:c>
      <x:c r="F524" s="38" t="str">
        <x:v>almeidafranciscosp@gmail.com</x:v>
      </x:c>
      <x:c r="G524" s="39" t="n">
        <x:v>46122</x:v>
      </x:c>
      <x:c r="H524" s="16" t="str">
        <x:v>04/2026</x:v>
      </x:c>
      <x:c r="I524" s="40" t="n">
        <x:v>898.03</x:v>
      </x:c>
      <x:c r="J524" s="40" t="n">
        <x:v>971.62</x:v>
      </x:c>
      <x:c r="K524" s="16" t="str">
        <x:v>Novo</x:v>
      </x:c>
      <x:c r="L524" s="16" t="str">
        <x:v>Em aberto</x:v>
      </x:c>
      <x:c r="M524" s="16" t="str">
        <x:v>9d29f5c8-8ad7-4867-aa7f-ff81c7653b5e</x:v>
      </x:c>
      <x:c r="N524" s="41" t="str"/>
    </x:row>
    <x:row r="525">
      <x:c r="A525" s="37" t="str">
        <x:f>"001809"</x:f>
        <x:v>001809</x:v>
      </x:c>
      <x:c r="B525" s="38" t="str">
        <x:f>"0"</x:f>
        <x:v>0</x:v>
      </x:c>
      <x:c r="C525" s="38" t="str">
        <x:v>ANTONIO FRANCISCO DE ALMEIDA</x:v>
      </x:c>
      <x:c r="D525" s="38" t="str">
        <x:f>"67242383820"</x:f>
        <x:v>67242383820</x:v>
      </x:c>
      <x:c r="E525" s="38" t="str">
        <x:f>""</x:f>
      </x:c>
      <x:c r="F525" s="38" t="str">
        <x:v>almeidafranciscosp@gmail.com</x:v>
      </x:c>
      <x:c r="G525" s="39" t="n">
        <x:v>46152</x:v>
      </x:c>
      <x:c r="H525" s="16" t="str">
        <x:v>05/2026</x:v>
      </x:c>
      <x:c r="I525" s="40" t="n">
        <x:v>987.89</x:v>
      </x:c>
      <x:c r="J525" s="40" t="n">
        <x:v>1049.24</x:v>
      </x:c>
      <x:c r="K525" s="16" t="str">
        <x:v>Novo</x:v>
      </x:c>
      <x:c r="L525" s="16" t="str">
        <x:v>Em aberto</x:v>
      </x:c>
      <x:c r="M525" s="16" t="str">
        <x:v>100aea30-9cb0-4ecb-a4c5-4ac72f639a35</x:v>
      </x:c>
      <x:c r="N525" s="41" t="str"/>
    </x:row>
    <x:row r="526">
      <x:c r="A526" s="37" t="str">
        <x:f>"001809"</x:f>
        <x:v>001809</x:v>
      </x:c>
      <x:c r="B526" s="38" t="str">
        <x:f>"0"</x:f>
        <x:v>0</x:v>
      </x:c>
      <x:c r="C526" s="38" t="str">
        <x:v>ANTONIO FRANCISCO DE ALMEIDA</x:v>
      </x:c>
      <x:c r="D526" s="38" t="str">
        <x:f>"67242383820"</x:f>
        <x:v>67242383820</x:v>
      </x:c>
      <x:c r="E526" s="38" t="str">
        <x:f>""</x:f>
      </x:c>
      <x:c r="F526" s="38" t="str">
        <x:v>almeidafranciscosp@gmail.com</x:v>
      </x:c>
      <x:c r="G526" s="39" t="n">
        <x:v>46213</x:v>
      </x:c>
      <x:c r="H526" s="16" t="str">
        <x:v>07/2026</x:v>
      </x:c>
      <x:c r="I526" s="40" t="n">
        <x:v>672.98</x:v>
      </x:c>
      <x:c r="J526" s="40" t="n">
        <x:v>693.7</x:v>
      </x:c>
      <x:c r="K526" s="16" t="str">
        <x:v>Novo</x:v>
      </x:c>
      <x:c r="L526" s="16" t="str">
        <x:v>Em aberto</x:v>
      </x:c>
      <x:c r="M526" s="16" t="str">
        <x:v>4180406b-b4b7-4083-bb54-12fefe072d7f</x:v>
      </x:c>
      <x:c r="N526" s="41" t="str"/>
    </x:row>
    <x:row r="527">
      <x:c r="A527" s="37" t="str">
        <x:f>"001905"</x:f>
        <x:v>001905</x:v>
      </x:c>
      <x:c r="B527" s="38" t="str">
        <x:f>"0"</x:f>
        <x:v>0</x:v>
      </x:c>
      <x:c r="C527" s="38" t="str">
        <x:v>KATIA REGINA DOS SANTOS</x:v>
      </x:c>
      <x:c r="D527" s="38" t="str">
        <x:f>"19340278801"</x:f>
        <x:v>19340278801</x:v>
      </x:c>
      <x:c r="E527" s="38" t="str">
        <x:f>""</x:f>
      </x:c>
      <x:c r="F527" s="38" t="str">
        <x:v>jcirepre@terra.com.br</x:v>
      </x:c>
      <x:c r="G527" s="39" t="n">
        <x:v>46122</x:v>
      </x:c>
      <x:c r="H527" s="16" t="str">
        <x:v>04/2026</x:v>
      </x:c>
      <x:c r="I527" s="40" t="n">
        <x:v>402.41</x:v>
      </x:c>
      <x:c r="J527" s="40" t="n">
        <x:v>435.38</x:v>
      </x:c>
      <x:c r="K527" s="16" t="str">
        <x:v>Novo</x:v>
      </x:c>
      <x:c r="L527" s="16" t="str">
        <x:v>Em aberto</x:v>
      </x:c>
      <x:c r="M527" s="16" t="str">
        <x:v>99847269-2075-493e-bb76-4ac254c20588</x:v>
      </x:c>
      <x:c r="N527" s="41" t="str"/>
    </x:row>
    <x:row r="528">
      <x:c r="A528" s="37" t="str">
        <x:f>"001906"</x:f>
        <x:v>001906</x:v>
      </x:c>
      <x:c r="B528" s="38" t="str">
        <x:f>"0"</x:f>
        <x:v>0</x:v>
      </x:c>
      <x:c r="C528" s="38" t="str">
        <x:v>XIAOKAI XU</x:v>
      </x:c>
      <x:c r="D528" s="38" t="str">
        <x:f>"23654664865"</x:f>
        <x:v>23654664865</x:v>
      </x:c>
      <x:c r="E528" s="38" t="str">
        <x:f>""</x:f>
      </x:c>
      <x:c r="F528" s="38" t="str">
        <x:v>zafferanopedro@yahoo.com</x:v>
      </x:c>
      <x:c r="G528" s="39" t="n">
        <x:v>46213</x:v>
      </x:c>
      <x:c r="H528" s="16" t="str">
        <x:v>07/2026</x:v>
      </x:c>
      <x:c r="I528" s="40" t="n">
        <x:v>913.85</x:v>
      </x:c>
      <x:c r="J528" s="40" t="n">
        <x:v>942.01</x:v>
      </x:c>
      <x:c r="K528" s="16" t="str">
        <x:v>Novo</x:v>
      </x:c>
      <x:c r="L528" s="16" t="str">
        <x:v>Em aberto</x:v>
      </x:c>
      <x:c r="M528" s="16" t="str">
        <x:v>851097be-a661-44cf-9f94-3b7b04e643e6</x:v>
      </x:c>
      <x:c r="N528" s="41" t="str"/>
    </x:row>
    <x:row r="529">
      <x:c r="A529" s="37" t="str">
        <x:f>"001911"</x:f>
        <x:v>001911</x:v>
      </x:c>
      <x:c r="B529" s="38" t="str">
        <x:f>"0"</x:f>
        <x:v>0</x:v>
      </x:c>
      <x:c r="C529" s="38" t="str">
        <x:v>CELSO BARBOSA DA SILVA</x:v>
      </x:c>
      <x:c r="D529" s="38" t="str">
        <x:f>"28911358819"</x:f>
        <x:v>28911358819</x:v>
      </x:c>
      <x:c r="E529" s="38" t="str">
        <x:f>""</x:f>
      </x:c>
      <x:c r="F529" s="38" t="str">
        <x:v>barbosasilvacelso3@gmail.com</x:v>
      </x:c>
      <x:c r="G529" s="39" t="n">
        <x:v>46183</x:v>
      </x:c>
      <x:c r="H529" s="16" t="str">
        <x:v>06/2026</x:v>
      </x:c>
      <x:c r="I529" s="40" t="n">
        <x:v>1153.87</x:v>
      </x:c>
      <x:c r="J529" s="40" t="n">
        <x:v>1206.15</x:v>
      </x:c>
      <x:c r="K529" s="16" t="str">
        <x:v>Novo</x:v>
      </x:c>
      <x:c r="L529" s="16" t="str">
        <x:v>Em aberto</x:v>
      </x:c>
      <x:c r="M529" s="16" t="str">
        <x:v>4198a85c-af32-4c06-a6d8-0b98ec338aff</x:v>
      </x:c>
      <x:c r="N529" s="41" t="str"/>
    </x:row>
    <x:row r="530">
      <x:c r="A530" s="37" t="str">
        <x:f>"001911"</x:f>
        <x:v>001911</x:v>
      </x:c>
      <x:c r="B530" s="38" t="str">
        <x:f>"0"</x:f>
        <x:v>0</x:v>
      </x:c>
      <x:c r="C530" s="38" t="str">
        <x:v>CELSO BARBOSA DA SILVA</x:v>
      </x:c>
      <x:c r="D530" s="38" t="str">
        <x:f>"28911358819"</x:f>
        <x:v>28911358819</x:v>
      </x:c>
      <x:c r="E530" s="38" t="str">
        <x:f>""</x:f>
      </x:c>
      <x:c r="F530" s="38" t="str">
        <x:v>barbosasilvacelso3@gmail.com</x:v>
      </x:c>
      <x:c r="G530" s="39" t="n">
        <x:v>46213</x:v>
      </x:c>
      <x:c r="H530" s="16" t="str">
        <x:v>07/2026</x:v>
      </x:c>
      <x:c r="I530" s="40" t="n">
        <x:v>822.13</x:v>
      </x:c>
      <x:c r="J530" s="40" t="n">
        <x:v>847.45</x:v>
      </x:c>
      <x:c r="K530" s="16" t="str">
        <x:v>Novo</x:v>
      </x:c>
      <x:c r="L530" s="16" t="str">
        <x:v>Em aberto</x:v>
      </x:c>
      <x:c r="M530" s="16" t="str">
        <x:v>2b5898e0-61cf-4580-b8e7-2039b48e4799</x:v>
      </x:c>
      <x:c r="N530" s="41" t="str"/>
    </x:row>
    <x:row r="531">
      <x:c r="A531" s="37" t="str">
        <x:f>"001912"</x:f>
        <x:v>001912</x:v>
      </x:c>
      <x:c r="B531" s="38" t="str">
        <x:f>"0"</x:f>
        <x:v>0</x:v>
      </x:c>
      <x:c r="C531" s="38" t="str">
        <x:v>LAURA DUARTE BERNARDO</x:v>
      </x:c>
      <x:c r="D531" s="38" t="str">
        <x:f>"70147884853"</x:f>
        <x:v>70147884853</x:v>
      </x:c>
      <x:c r="E531" s="38" t="str">
        <x:f>""</x:f>
      </x:c>
      <x:c r="F531" s="38" t="str">
        <x:v>laurad.bernardo@hotmail.com</x:v>
      </x:c>
      <x:c r="G531" s="39" t="n">
        <x:v>46213</x:v>
      </x:c>
      <x:c r="H531" s="16" t="str">
        <x:v>07/2026</x:v>
      </x:c>
      <x:c r="I531" s="40" t="n">
        <x:v>822.13</x:v>
      </x:c>
      <x:c r="J531" s="40" t="n">
        <x:v>847.45</x:v>
      </x:c>
      <x:c r="K531" s="16" t="str">
        <x:v>Novo</x:v>
      </x:c>
      <x:c r="L531" s="16" t="str">
        <x:v>Em aberto</x:v>
      </x:c>
      <x:c r="M531" s="16" t="str">
        <x:v>71dfe4c9-eb6e-4e4c-9a0c-1c957f5e1b29</x:v>
      </x:c>
      <x:c r="N531" s="41" t="str"/>
    </x:row>
    <x:row r="532">
      <x:c r="A532" s="37" t="str">
        <x:f>"002009"</x:f>
        <x:v>002009</x:v>
      </x:c>
      <x:c r="B532" s="38" t="str">
        <x:f>"0"</x:f>
        <x:v>0</x:v>
      </x:c>
      <x:c r="C532" s="38" t="str">
        <x:v>ANA CLAUDIA ALEXANDRINO SILVA</x:v>
      </x:c>
      <x:c r="D532" s="38" t="str">
        <x:f>"28555723809"</x:f>
        <x:v>28555723809</x:v>
      </x:c>
      <x:c r="E532" s="38" t="str">
        <x:f>"11982064176"</x:f>
        <x:v>11982064176</x:v>
      </x:c>
      <x:c r="F532" s="38" t="str">
        <x:v>anacasilva.rh@gmail.com</x:v>
      </x:c>
      <x:c r="G532" s="39" t="n">
        <x:v>46063</x:v>
      </x:c>
      <x:c r="H532" s="16" t="str">
        <x:v>02/2026</x:v>
      </x:c>
      <x:c r="I532" s="40" t="n">
        <x:v>689.48</x:v>
      </x:c>
      <x:c r="J532" s="40" t="n">
        <x:v>770.1</x:v>
      </x:c>
      <x:c r="K532" s="16" t="str">
        <x:v>Novo</x:v>
      </x:c>
      <x:c r="L532" s="16" t="str">
        <x:v>Em aberto</x:v>
      </x:c>
      <x:c r="M532" s="16" t="str">
        <x:v>e93d2a28-e9eb-44f6-8670-74f399e176c0</x:v>
      </x:c>
      <x:c r="N532" s="41" t="str"/>
    </x:row>
    <x:row r="533">
      <x:c r="A533" s="37" t="str">
        <x:f>"002009"</x:f>
        <x:v>002009</x:v>
      </x:c>
      <x:c r="B533" s="38" t="str">
        <x:f>"0"</x:f>
        <x:v>0</x:v>
      </x:c>
      <x:c r="C533" s="38" t="str">
        <x:v>ANA CLAUDIA ALEXANDRINO SILVA</x:v>
      </x:c>
      <x:c r="D533" s="38" t="str">
        <x:f>"28555723809"</x:f>
        <x:v>28555723809</x:v>
      </x:c>
      <x:c r="E533" s="38" t="str">
        <x:f>"11982064176"</x:f>
        <x:v>11982064176</x:v>
      </x:c>
      <x:c r="F533" s="38" t="str">
        <x:v>anacasilva.rh@gmail.com</x:v>
      </x:c>
      <x:c r="G533" s="39" t="n">
        <x:v>46091</x:v>
      </x:c>
      <x:c r="H533" s="16" t="str">
        <x:v>03/2026</x:v>
      </x:c>
      <x:c r="I533" s="40" t="n">
        <x:v>716.12</x:v>
      </x:c>
      <x:c r="J533" s="40" t="n">
        <x:v>785.7</x:v>
      </x:c>
      <x:c r="K533" s="16" t="str">
        <x:v>Novo</x:v>
      </x:c>
      <x:c r="L533" s="16" t="str">
        <x:v>Em aberto</x:v>
      </x:c>
      <x:c r="M533" s="16" t="str">
        <x:v>1d2e9d46-d7c4-4835-ba09-aca7fc6fa3f6</x:v>
      </x:c>
      <x:c r="N533" s="41" t="str"/>
    </x:row>
    <x:row r="534">
      <x:c r="A534" s="37" t="str">
        <x:f>"002009"</x:f>
        <x:v>002009</x:v>
      </x:c>
      <x:c r="B534" s="38" t="str">
        <x:f>"0"</x:f>
        <x:v>0</x:v>
      </x:c>
      <x:c r="C534" s="38" t="str">
        <x:v>ANA CLAUDIA ALEXANDRINO SILVA</x:v>
      </x:c>
      <x:c r="D534" s="38" t="str">
        <x:f>"28555723809"</x:f>
        <x:v>28555723809</x:v>
      </x:c>
      <x:c r="E534" s="38" t="str">
        <x:f>"11982064176"</x:f>
        <x:v>11982064176</x:v>
      </x:c>
      <x:c r="F534" s="38" t="str">
        <x:v>anacasilva.rh@gmail.com</x:v>
      </x:c>
      <x:c r="G534" s="39" t="n">
        <x:v>46122</x:v>
      </x:c>
      <x:c r="H534" s="16" t="str">
        <x:v>04/2026</x:v>
      </x:c>
      <x:c r="I534" s="40" t="n">
        <x:v>898.03</x:v>
      </x:c>
      <x:c r="J534" s="40" t="n">
        <x:v>971.62</x:v>
      </x:c>
      <x:c r="K534" s="16" t="str">
        <x:v>Novo</x:v>
      </x:c>
      <x:c r="L534" s="16" t="str">
        <x:v>Em aberto</x:v>
      </x:c>
      <x:c r="M534" s="16" t="str">
        <x:v>05ae56fb-b18c-4bd2-9f37-a22a392a5fd8</x:v>
      </x:c>
      <x:c r="N534" s="41" t="str"/>
    </x:row>
    <x:row r="535">
      <x:c r="A535" s="37" t="str">
        <x:f>"002009"</x:f>
        <x:v>002009</x:v>
      </x:c>
      <x:c r="B535" s="38" t="str">
        <x:f>"0"</x:f>
        <x:v>0</x:v>
      </x:c>
      <x:c r="C535" s="38" t="str">
        <x:v>ANA CLAUDIA ALEXANDRINO SILVA</x:v>
      </x:c>
      <x:c r="D535" s="38" t="str">
        <x:f>"28555723809"</x:f>
        <x:v>28555723809</x:v>
      </x:c>
      <x:c r="E535" s="38" t="str">
        <x:f>"11982064176"</x:f>
        <x:v>11982064176</x:v>
      </x:c>
      <x:c r="F535" s="38" t="str">
        <x:v>anacasilva.rh@gmail.com</x:v>
      </x:c>
      <x:c r="G535" s="39" t="n">
        <x:v>46152</x:v>
      </x:c>
      <x:c r="H535" s="16" t="str">
        <x:v>05/2026</x:v>
      </x:c>
      <x:c r="I535" s="40" t="n">
        <x:v>987.89</x:v>
      </x:c>
      <x:c r="J535" s="40" t="n">
        <x:v>1049.24</x:v>
      </x:c>
      <x:c r="K535" s="16" t="str">
        <x:v>Novo</x:v>
      </x:c>
      <x:c r="L535" s="16" t="str">
        <x:v>Em aberto</x:v>
      </x:c>
      <x:c r="M535" s="16" t="str">
        <x:v>f63eb4cb-0df1-4d16-9169-4e9b1b2f1b44</x:v>
      </x:c>
      <x:c r="N535" s="41" t="str"/>
    </x:row>
    <x:row r="536">
      <x:c r="A536" s="37" t="str">
        <x:f>"002009"</x:f>
        <x:v>002009</x:v>
      </x:c>
      <x:c r="B536" s="38" t="str">
        <x:f>"0"</x:f>
        <x:v>0</x:v>
      </x:c>
      <x:c r="C536" s="38" t="str">
        <x:v>ANA CLAUDIA ALEXANDRINO SILVA</x:v>
      </x:c>
      <x:c r="D536" s="38" t="str">
        <x:f>"28555723809"</x:f>
        <x:v>28555723809</x:v>
      </x:c>
      <x:c r="E536" s="38" t="str">
        <x:f>"11982064176"</x:f>
        <x:v>11982064176</x:v>
      </x:c>
      <x:c r="F536" s="38" t="str">
        <x:v>anacasilva.rh@gmail.com</x:v>
      </x:c>
      <x:c r="G536" s="39" t="n">
        <x:v>46213</x:v>
      </x:c>
      <x:c r="H536" s="16" t="str">
        <x:v>07/2026</x:v>
      </x:c>
      <x:c r="I536" s="40" t="n">
        <x:v>772.98</x:v>
      </x:c>
      <x:c r="J536" s="40" t="n">
        <x:v>796.78</x:v>
      </x:c>
      <x:c r="K536" s="16" t="str">
        <x:v>Novo</x:v>
      </x:c>
      <x:c r="L536" s="16" t="str">
        <x:v>Em aberto</x:v>
      </x:c>
      <x:c r="M536" s="16" t="str">
        <x:v>0af331e6-a040-42ec-9a07-1c79dd1bf479</x:v>
      </x:c>
      <x:c r="N536" s="41" t="str"/>
    </x:row>
    <x:row r="537">
      <x:c r="A537" s="37" t="str">
        <x:f>"002501"</x:f>
        <x:v>002501</x:v>
      </x:c>
      <x:c r="B537" s="38" t="str">
        <x:f>"0"</x:f>
        <x:v>0</x:v>
      </x:c>
      <x:c r="C537" s="38" t="str">
        <x:v>FABIO SILVESTRE PEREIRA DOS SANTOS</x:v>
      </x:c>
      <x:c r="D537" s="38" t="str">
        <x:f>"29489294829"</x:f>
        <x:v>29489294829</x:v>
      </x:c>
      <x:c r="E537" s="38" t="str">
        <x:f>""</x:f>
      </x:c>
      <x:c r="F537" s="38" t="str">
        <x:v>fsilvestre32@hotmail.com</x:v>
      </x:c>
      <x:c r="G537" s="39" t="n">
        <x:v>46213</x:v>
      </x:c>
      <x:c r="H537" s="16" t="str">
        <x:v>07/2026</x:v>
      </x:c>
      <x:c r="I537" s="40" t="n">
        <x:v>726.89</x:v>
      </x:c>
      <x:c r="J537" s="40" t="n">
        <x:v>749.29</x:v>
      </x:c>
      <x:c r="K537" s="16" t="str">
        <x:v>Novo</x:v>
      </x:c>
      <x:c r="L537" s="16" t="str">
        <x:v>Em aberto</x:v>
      </x:c>
      <x:c r="M537" s="16" t="str">
        <x:v>5b792d79-1790-4603-a192-cd9e74a1ab33</x:v>
      </x:c>
      <x:c r="N537" s="41" t="str"/>
    </x:row>
    <x:row r="538">
      <x:c r="A538" s="37" t="str">
        <x:f>"002504"</x:f>
        <x:v>002504</x:v>
      </x:c>
      <x:c r="B538" s="38" t="str">
        <x:f>"0"</x:f>
        <x:v>0</x:v>
      </x:c>
      <x:c r="C538" s="38" t="str">
        <x:v>GABRIEL SA / RAFAELA MARCOS</x:v>
      </x:c>
      <x:c r="D538" s="38" t="str">
        <x:f>"43639970870"</x:f>
        <x:v>43639970870</x:v>
      </x:c>
      <x:c r="E538" s="38" t="str">
        <x:f>""</x:f>
      </x:c>
      <x:c r="F538" s="38" t="str">
        <x:v>gabriel98sa@outlook.com</x:v>
      </x:c>
      <x:c r="G538" s="39" t="n">
        <x:v>46213</x:v>
      </x:c>
      <x:c r="H538" s="16" t="str">
        <x:v>07/2026</x:v>
      </x:c>
      <x:c r="I538" s="40" t="n">
        <x:v>672.98</x:v>
      </x:c>
      <x:c r="J538" s="40" t="n">
        <x:v>693.7</x:v>
      </x:c>
      <x:c r="K538" s="16" t="str">
        <x:v>Novo</x:v>
      </x:c>
      <x:c r="L538" s="16" t="str">
        <x:v>Em aberto</x:v>
      </x:c>
      <x:c r="M538" s="16" t="str">
        <x:v>2494c192-ebaf-4f13-88eb-929c777b0a51</x:v>
      </x:c>
      <x:c r="N538" s="41" t="str"/>
    </x:row>
    <x:row r="539">
      <x:c r="A539" s="37" t="str">
        <x:f>"002506"</x:f>
        <x:v>002506</x:v>
      </x:c>
      <x:c r="B539" s="38" t="str">
        <x:f>"0"</x:f>
        <x:v>0</x:v>
      </x:c>
      <x:c r="C539" s="38" t="str">
        <x:v>JOSE AFONSO INGLES MUONDO</x:v>
      </x:c>
      <x:c r="D539" s="38" t="str">
        <x:f>"23382873800"</x:f>
        <x:v>23382873800</x:v>
      </x:c>
      <x:c r="E539" s="38" t="str">
        <x:f>""</x:f>
      </x:c>
      <x:c r="F539" s="38" t="str">
        <x:v>afonso.muondo@gmail.com</x:v>
      </x:c>
      <x:c r="G539" s="39" t="n">
        <x:v>46032</x:v>
      </x:c>
      <x:c r="H539" s="16" t="str">
        <x:v>01/2026</x:v>
      </x:c>
      <x:c r="I539" s="40" t="n">
        <x:v>885.35</x:v>
      </x:c>
      <x:c r="J539" s="40" t="n">
        <x:v>1000.17</x:v>
      </x:c>
      <x:c r="K539" s="16" t="str">
        <x:v>Novo</x:v>
      </x:c>
      <x:c r="L539" s="16" t="str">
        <x:v>Em aberto</x:v>
      </x:c>
      <x:c r="M539" s="16" t="str">
        <x:v>53169c88-1a62-4726-83ec-e26cf39aa14d</x:v>
      </x:c>
      <x:c r="N539" s="41" t="str"/>
    </x:row>
    <x:row r="540">
      <x:c r="A540" s="37" t="str">
        <x:f>"002506"</x:f>
        <x:v>002506</x:v>
      </x:c>
      <x:c r="B540" s="38" t="str">
        <x:f>"0"</x:f>
        <x:v>0</x:v>
      </x:c>
      <x:c r="C540" s="38" t="str">
        <x:v>JOSE AFONSO INGLES MUONDO</x:v>
      </x:c>
      <x:c r="D540" s="38" t="str">
        <x:f>"23382873800"</x:f>
        <x:v>23382873800</x:v>
      </x:c>
      <x:c r="E540" s="38" t="str">
        <x:f>""</x:f>
      </x:c>
      <x:c r="F540" s="38" t="str">
        <x:v>afonso.muondo@gmail.com</x:v>
      </x:c>
      <x:c r="G540" s="39" t="n">
        <x:v>46063</x:v>
      </x:c>
      <x:c r="H540" s="16" t="str">
        <x:v>02/2026</x:v>
      </x:c>
      <x:c r="I540" s="40" t="n">
        <x:v>909.37</x:v>
      </x:c>
      <x:c r="J540" s="40" t="n">
        <x:v>1015.68</x:v>
      </x:c>
      <x:c r="K540" s="16" t="str">
        <x:v>Novo</x:v>
      </x:c>
      <x:c r="L540" s="16" t="str">
        <x:v>Em aberto</x:v>
      </x:c>
      <x:c r="M540" s="16" t="str">
        <x:v>71b8272c-3436-43ae-baa0-4c732d34de2f</x:v>
      </x:c>
      <x:c r="N540" s="41" t="str"/>
    </x:row>
    <x:row r="541">
      <x:c r="A541" s="37" t="str">
        <x:f>"002506"</x:f>
        <x:v>002506</x:v>
      </x:c>
      <x:c r="B541" s="38" t="str">
        <x:f>"0"</x:f>
        <x:v>0</x:v>
      </x:c>
      <x:c r="C541" s="38" t="str">
        <x:v>JOSE AFONSO INGLES MUONDO</x:v>
      </x:c>
      <x:c r="D541" s="38" t="str">
        <x:f>"23382873800"</x:f>
        <x:v>23382873800</x:v>
      </x:c>
      <x:c r="E541" s="38" t="str">
        <x:f>""</x:f>
      </x:c>
      <x:c r="F541" s="38" t="str">
        <x:v>afonso.muondo@gmail.com</x:v>
      </x:c>
      <x:c r="G541" s="39" t="n">
        <x:v>46091</x:v>
      </x:c>
      <x:c r="H541" s="16" t="str">
        <x:v>03/2026</x:v>
      </x:c>
      <x:c r="I541" s="40" t="n">
        <x:v>972.44</x:v>
      </x:c>
      <x:c r="J541" s="40" t="n">
        <x:v>1066.94</x:v>
      </x:c>
      <x:c r="K541" s="16" t="str">
        <x:v>Novo</x:v>
      </x:c>
      <x:c r="L541" s="16" t="str">
        <x:v>Em aberto</x:v>
      </x:c>
      <x:c r="M541" s="16" t="str">
        <x:v>cd3cb4f7-c801-462c-9ea1-9a8527d1f15d</x:v>
      </x:c>
      <x:c r="N541" s="41" t="str"/>
    </x:row>
    <x:row r="542">
      <x:c r="A542" s="37" t="str">
        <x:f>"002506"</x:f>
        <x:v>002506</x:v>
      </x:c>
      <x:c r="B542" s="38" t="str">
        <x:f>"0"</x:f>
        <x:v>0</x:v>
      </x:c>
      <x:c r="C542" s="38" t="str">
        <x:v>JOSE AFONSO INGLES MUONDO</x:v>
      </x:c>
      <x:c r="D542" s="38" t="str">
        <x:f>"23382873800"</x:f>
        <x:v>23382873800</x:v>
      </x:c>
      <x:c r="E542" s="38" t="str">
        <x:f>""</x:f>
      </x:c>
      <x:c r="F542" s="38" t="str">
        <x:v>afonso.muondo@gmail.com</x:v>
      </x:c>
      <x:c r="G542" s="39" t="n">
        <x:v>46122</x:v>
      </x:c>
      <x:c r="H542" s="16" t="str">
        <x:v>04/2026</x:v>
      </x:c>
      <x:c r="I542" s="40" t="n">
        <x:v>1219.45</x:v>
      </x:c>
      <x:c r="J542" s="40" t="n">
        <x:v>1319.38</x:v>
      </x:c>
      <x:c r="K542" s="16" t="str">
        <x:v>Novo</x:v>
      </x:c>
      <x:c r="L542" s="16" t="str">
        <x:v>Em aberto</x:v>
      </x:c>
      <x:c r="M542" s="16" t="str">
        <x:v>80833646-41a5-44ab-97ae-ab690cfc087d</x:v>
      </x:c>
      <x:c r="N542" s="41" t="str"/>
    </x:row>
    <x:row r="543">
      <x:c r="A543" s="37" t="str">
        <x:f>"002506"</x:f>
        <x:v>002506</x:v>
      </x:c>
      <x:c r="B543" s="38" t="str">
        <x:f>"0"</x:f>
        <x:v>0</x:v>
      </x:c>
      <x:c r="C543" s="38" t="str">
        <x:v>JOSE AFONSO INGLES MUONDO</x:v>
      </x:c>
      <x:c r="D543" s="38" t="str">
        <x:f>"23382873800"</x:f>
        <x:v>23382873800</x:v>
      </x:c>
      <x:c r="E543" s="38" t="str">
        <x:f>""</x:f>
      </x:c>
      <x:c r="F543" s="38" t="str">
        <x:v>afonso.muondo@gmail.com</x:v>
      </x:c>
      <x:c r="G543" s="39" t="n">
        <x:v>46152</x:v>
      </x:c>
      <x:c r="H543" s="16" t="str">
        <x:v>05/2026</x:v>
      </x:c>
      <x:c r="I543" s="40" t="n">
        <x:v>1341.48</x:v>
      </x:c>
      <x:c r="J543" s="40" t="n">
        <x:v>1424.77</x:v>
      </x:c>
      <x:c r="K543" s="16" t="str">
        <x:v>Novo</x:v>
      </x:c>
      <x:c r="L543" s="16" t="str">
        <x:v>Em aberto</x:v>
      </x:c>
      <x:c r="M543" s="16" t="str">
        <x:v>dfd2a325-c83f-4b3c-9f6e-6e13403e16d1</x:v>
      </x:c>
      <x:c r="N543" s="41" t="str"/>
    </x:row>
    <x:row r="544">
      <x:c r="A544" s="37" t="str">
        <x:f>"002506"</x:f>
        <x:v>002506</x:v>
      </x:c>
      <x:c r="B544" s="38" t="str">
        <x:f>"0"</x:f>
        <x:v>0</x:v>
      </x:c>
      <x:c r="C544" s="38" t="str">
        <x:v>JOSE AFONSO INGLES MUONDO</x:v>
      </x:c>
      <x:c r="D544" s="38" t="str">
        <x:f>"23382873800"</x:f>
        <x:v>23382873800</x:v>
      </x:c>
      <x:c r="E544" s="38" t="str">
        <x:f>""</x:f>
      </x:c>
      <x:c r="F544" s="38" t="str">
        <x:v>afonso.muondo@gmail.com</x:v>
      </x:c>
      <x:c r="G544" s="39" t="n">
        <x:v>46183</x:v>
      </x:c>
      <x:c r="H544" s="16" t="str">
        <x:v>06/2026</x:v>
      </x:c>
      <x:c r="I544" s="40" t="n">
        <x:v>1282.63</x:v>
      </x:c>
      <x:c r="J544" s="40" t="n">
        <x:v>1340.71</x:v>
      </x:c>
      <x:c r="K544" s="16" t="str">
        <x:v>Novo</x:v>
      </x:c>
      <x:c r="L544" s="16" t="str">
        <x:v>Em aberto</x:v>
      </x:c>
      <x:c r="M544" s="16" t="str">
        <x:v>4841d7bc-29f2-4316-a419-49dd3cf2003b</x:v>
      </x:c>
      <x:c r="N544" s="41" t="str"/>
    </x:row>
    <x:row r="545">
      <x:c r="A545" s="37" t="str">
        <x:f>"002506"</x:f>
        <x:v>002506</x:v>
      </x:c>
      <x:c r="B545" s="38" t="str">
        <x:f>"0"</x:f>
        <x:v>0</x:v>
      </x:c>
      <x:c r="C545" s="38" t="str">
        <x:v>JOSE AFONSO INGLES MUONDO</x:v>
      </x:c>
      <x:c r="D545" s="38" t="str">
        <x:f>"23382873800"</x:f>
        <x:v>23382873800</x:v>
      </x:c>
      <x:c r="E545" s="38" t="str">
        <x:f>""</x:f>
      </x:c>
      <x:c r="F545" s="38" t="str">
        <x:v>afonso.muondo@gmail.com</x:v>
      </x:c>
      <x:c r="G545" s="39" t="n">
        <x:v>46213</x:v>
      </x:c>
      <x:c r="H545" s="16" t="str">
        <x:v>07/2026</x:v>
      </x:c>
      <x:c r="I545" s="40" t="n">
        <x:v>913.85</x:v>
      </x:c>
      <x:c r="J545" s="40" t="n">
        <x:v>942.01</x:v>
      </x:c>
      <x:c r="K545" s="16" t="str">
        <x:v>Novo</x:v>
      </x:c>
      <x:c r="L545" s="16" t="str">
        <x:v>Em aberto</x:v>
      </x:c>
      <x:c r="M545" s="16" t="str">
        <x:v>e0d1082d-ba18-42ed-b421-001401fa98d4</x:v>
      </x:c>
      <x:c r="N545" s="41" t="str"/>
    </x:row>
    <x:row r="546">
      <x:c r="A546" s="37" t="str">
        <x:f>"002509"</x:f>
        <x:v>002509</x:v>
      </x:c>
      <x:c r="B546" s="38" t="str">
        <x:f>"0"</x:f>
        <x:v>0</x:v>
      </x:c>
      <x:c r="C546" s="38" t="str">
        <x:v>DENISE FAGUNDES DE OLIVEIRA</x:v>
      </x:c>
      <x:c r="D546" s="38" t="str">
        <x:f>"34012670867"</x:f>
        <x:v>34012670867</x:v>
      </x:c>
      <x:c r="E546" s="38" t="str">
        <x:f>""</x:f>
      </x:c>
      <x:c r="F546" s="38" t="str">
        <x:v>phagundes@hotmail.com</x:v>
      </x:c>
      <x:c r="G546" s="39" t="n">
        <x:v>46152</x:v>
      </x:c>
      <x:c r="H546" s="16" t="str">
        <x:v>05/2026</x:v>
      </x:c>
      <x:c r="I546" s="40" t="n">
        <x:v>1306.95</x:v>
      </x:c>
      <x:c r="J546" s="40" t="n">
        <x:v>1388.09</x:v>
      </x:c>
      <x:c r="K546" s="16" t="str">
        <x:v>Novo</x:v>
      </x:c>
      <x:c r="L546" s="16" t="str">
        <x:v>Em aberto</x:v>
      </x:c>
      <x:c r="M546" s="16" t="str">
        <x:v>aea8a5a1-b759-47e3-ba48-370f0a221bb9</x:v>
      </x:c>
      <x:c r="N546" s="41" t="str"/>
    </x:row>
    <x:row r="547">
      <x:c r="A547" s="37" t="str">
        <x:f>"002604"</x:f>
        <x:v>002604</x:v>
      </x:c>
      <x:c r="B547" s="38" t="str">
        <x:f>"0"</x:f>
        <x:v>0</x:v>
      </x:c>
      <x:c r="C547" s="38" t="str">
        <x:v>SHEILA MARIA DA SILVA</x:v>
      </x:c>
      <x:c r="D547" s="38" t="str">
        <x:f>"21525515837"</x:f>
        <x:v>21525515837</x:v>
      </x:c>
      <x:c r="E547" s="38" t="str">
        <x:f>""</x:f>
      </x:c>
      <x:c r="F547" s="38" t="str">
        <x:v>sheila_enfermeira@yahoo.com.br</x:v>
      </x:c>
      <x:c r="G547" s="39" t="n">
        <x:v>46091</x:v>
      </x:c>
      <x:c r="H547" s="16" t="str">
        <x:v>03/2026</x:v>
      </x:c>
      <x:c r="I547" s="40" t="n">
        <x:v>716.12</x:v>
      </x:c>
      <x:c r="J547" s="40" t="n">
        <x:v>785.7</x:v>
      </x:c>
      <x:c r="K547" s="16" t="str">
        <x:v>Novo</x:v>
      </x:c>
      <x:c r="L547" s="16" t="str">
        <x:v>Em aberto</x:v>
      </x:c>
      <x:c r="M547" s="16" t="str">
        <x:v>deae7cb4-ccb3-40b5-b635-6a99630605c4</x:v>
      </x:c>
      <x:c r="N547" s="41" t="str"/>
    </x:row>
    <x:row r="548">
      <x:c r="A548" s="42" t="str">
        <x:f>"002604"</x:f>
        <x:v>002604</x:v>
      </x:c>
      <x:c r="B548" s="43" t="str">
        <x:f>"0"</x:f>
        <x:v>0</x:v>
      </x:c>
      <x:c r="C548" s="43" t="str">
        <x:v>SHEILA MARIA DA SILVA</x:v>
      </x:c>
      <x:c r="D548" s="43" t="str">
        <x:f>"21525515837"</x:f>
        <x:v>21525515837</x:v>
      </x:c>
      <x:c r="E548" s="43" t="str">
        <x:f>""</x:f>
      </x:c>
      <x:c r="F548" s="43" t="str">
        <x:v>sheila_enfermeira@yahoo.com.br</x:v>
      </x:c>
      <x:c r="G548" s="44" t="n">
        <x:v>46213</x:v>
      </x:c>
      <x:c r="H548" s="20" t="str">
        <x:v>07/2026</x:v>
      </x:c>
      <x:c r="I548" s="45" t="n">
        <x:v>672.98</x:v>
      </x:c>
      <x:c r="J548" s="45" t="n">
        <x:v>693.7</x:v>
      </x:c>
      <x:c r="K548" s="20" t="str">
        <x:v>Novo</x:v>
      </x:c>
      <x:c r="L548" s="20" t="str">
        <x:v>Em aberto</x:v>
      </x:c>
      <x:c r="M548" s="20" t="str">
        <x:v>a9da8da3-70e9-4a59-95b8-add929b32704</x:v>
      </x:c>
      <x:c r="N548" s="46" t="str"/>
    </x:row>
    <x:row r="549">
      <x:c r="A549" s="47" t="str">
        <x:v>Subtotal</x:v>
      </x:c>
      <x:c r="B549" s="47" t="str"/>
      <x:c r="C549" s="47" t="str"/>
      <x:c r="D549" s="47" t="str"/>
      <x:c r="E549" s="47" t="str"/>
      <x:c r="F549" s="47" t="str"/>
      <x:c r="G549" s="47" t="str"/>
      <x:c r="H549" s="47" t="str"/>
      <x:c r="I549" s="47" t="str"/>
      <x:c r="J549" s="48" t="n">
        <x:v>53210.94</x:v>
      </x:c>
      <x:c r="K549" s="47" t="str">
        <x:v>65 novas</x:v>
      </x:c>
      <x:c r="L549" s="47" t="str">
        <x:v>0 ativas</x:v>
      </x:c>
      <x:c r="M549" s="47" t="str"/>
      <x:c r="N549" s="47" t="str"/>
    </x:row>
    <x:row r="551">
      <x:c r="A551" s="26" t="str">
        <x:v>CLOCK VILA ROMANA</x:v>
      </x:c>
      <x:c r="B551" s="26"/>
      <x:c r="C551" s="26"/>
      <x:c r="D551" s="26"/>
      <x:c r="E551" s="26"/>
      <x:c r="F551" s="26"/>
      <x:c r="G551" s="26"/>
      <x:c r="H551" s="26"/>
      <x:c r="I551" s="26"/>
      <x:c r="J551" s="26"/>
      <x:c r="K551" s="26"/>
      <x:c r="L551" s="26"/>
      <x:c r="M551" s="26"/>
      <x:c r="N551" s="26"/>
    </x:row>
    <x:row r="552">
      <x:c r="A552" s="28" t="str">
        <x:v>CNPJ</x:v>
      </x:c>
      <x:c r="B552" s="28" t="str">
        <x:v>42.216.619/0001-88</x:v>
      </x:c>
      <x:c r="C552" s="28"/>
      <x:c r="D552" s="28" t="str">
        <x:v>Dia de vencimento</x:v>
      </x:c>
      <x:c r="E552" s="28" t="n">
        <x:v>10</x:v>
      </x:c>
      <x:c r="F552" s="28" t="str">
        <x:v>Régua</x:v>
      </x:c>
      <x:c r="G552" s="28" t="str">
        <x:v>D+30 · pré-jurídico em D+60</x:v>
      </x:c>
      <x:c r="H552" s="28"/>
      <x:c r="I552" s="28"/>
      <x:c r="J552" s="28"/>
      <x:c r="K552" s="28"/>
      <x:c r="L552" s="28"/>
      <x:c r="M552" s="28"/>
      <x:c r="N552" s="28"/>
    </x:row>
    <x:row r="553">
      <x:c r="A553" s="9" t="str">
        <x:v>Unidade</x:v>
      </x:c>
      <x:c r="B553" s="9" t="str">
        <x:v>Bloco</x:v>
      </x:c>
      <x:c r="C553" s="9" t="str">
        <x:v>Responsável</x:v>
      </x:c>
      <x:c r="D553" s="9" t="str">
        <x:v>Documento</x:v>
      </x:c>
      <x:c r="E553" s="9" t="str">
        <x:v>Telefone</x:v>
      </x:c>
      <x:c r="F553" s="9" t="str">
        <x:v>E-mail</x:v>
      </x:c>
      <x:c r="G553" s="9" t="str">
        <x:v>Vencimento</x:v>
      </x:c>
      <x:c r="H553" s="9" t="str">
        <x:v>Competência</x:v>
      </x:c>
      <x:c r="I553" s="9" t="str">
        <x:v>Valor original</x:v>
      </x:c>
      <x:c r="J553" s="9" t="str">
        <x:v>Valor atualizado</x:v>
      </x:c>
      <x:c r="K553" s="9" t="str">
        <x:v>Status operacional</x:v>
      </x:c>
      <x:c r="L553" s="9" t="str">
        <x:v>Status financeiro</x:v>
      </x:c>
      <x:c r="M553" s="9" t="str">
        <x:v>ID cobrança</x:v>
      </x:c>
      <x:c r="N553" s="9" t="str">
        <x:v>Observação</x:v>
      </x:c>
    </x:row>
    <x:row r="554">
      <x:c r="A554" s="49" t="str">
        <x:f>"000032"</x:f>
        <x:v>000032</x:v>
      </x:c>
      <x:c r="B554" s="50" t="str">
        <x:f>"01"</x:f>
        <x:v>01</x:v>
      </x:c>
      <x:c r="C554" s="50" t="str">
        <x:v>RICARDO DEL CIELLO</x:v>
      </x:c>
      <x:c r="D554" s="50" t="str">
        <x:f>""</x:f>
      </x:c>
      <x:c r="E554" s="50" t="str">
        <x:f>""</x:f>
      </x:c>
      <x:c r="F554" s="50" t="str"/>
      <x:c r="G554" s="51" t="n">
        <x:v>46213</x:v>
      </x:c>
      <x:c r="H554" s="52" t="str">
        <x:v>07/2026</x:v>
      </x:c>
      <x:c r="I554" s="53" t="n">
        <x:v>3138.45</x:v>
      </x:c>
      <x:c r="J554" s="53" t="n">
        <x:v>3242.79</x:v>
      </x:c>
      <x:c r="K554" s="52" t="str">
        <x:v>Novo</x:v>
      </x:c>
      <x:c r="L554" s="52" t="str">
        <x:v>Em aberto</x:v>
      </x:c>
      <x:c r="M554" s="52" t="str">
        <x:v>af89191c-ee1c-407e-8d18-42249615347f</x:v>
      </x:c>
      <x:c r="N554" s="54" t="str"/>
    </x:row>
    <x:row r="555">
      <x:c r="A555" s="47" t="str">
        <x:v>Subtotal</x:v>
      </x:c>
      <x:c r="B555" s="47" t="str"/>
      <x:c r="C555" s="47" t="str"/>
      <x:c r="D555" s="47" t="str"/>
      <x:c r="E555" s="47" t="str"/>
      <x:c r="F555" s="47" t="str"/>
      <x:c r="G555" s="47" t="str"/>
      <x:c r="H555" s="47" t="str"/>
      <x:c r="I555" s="47" t="str"/>
      <x:c r="J555" s="48" t="n">
        <x:v>3242.79</x:v>
      </x:c>
      <x:c r="K555" s="47" t="str">
        <x:v>1 novas</x:v>
      </x:c>
      <x:c r="L555" s="47" t="str">
        <x:v>0 ativas</x:v>
      </x:c>
      <x:c r="M555" s="47" t="str"/>
      <x:c r="N555" s="47" t="str"/>
    </x:row>
    <x:row r="557">
      <x:c r="A557" s="26" t="str">
        <x:v>CONDOMÍNIO ALPHA STAY</x:v>
      </x:c>
      <x:c r="B557" s="26"/>
      <x:c r="C557" s="26"/>
      <x:c r="D557" s="26"/>
      <x:c r="E557" s="26"/>
      <x:c r="F557" s="26"/>
      <x:c r="G557" s="26"/>
      <x:c r="H557" s="26"/>
      <x:c r="I557" s="26"/>
      <x:c r="J557" s="26"/>
      <x:c r="K557" s="26"/>
      <x:c r="L557" s="26"/>
      <x:c r="M557" s="26"/>
      <x:c r="N557" s="26"/>
    </x:row>
    <x:row r="558">
      <x:c r="A558" s="28" t="str">
        <x:v>CNPJ</x:v>
      </x:c>
      <x:c r="B558" s="28" t="str">
        <x:v>22.191.048/0001-67</x:v>
      </x:c>
      <x:c r="C558" s="28"/>
      <x:c r="D558" s="28" t="str">
        <x:v>Dia de vencimento</x:v>
      </x:c>
      <x:c r="E558" s="28" t="n">
        <x:v>5</x:v>
      </x:c>
      <x:c r="F558" s="28" t="str">
        <x:v>Régua</x:v>
      </x:c>
      <x:c r="G558" s="28" t="str">
        <x:v>D+60 · pré-jurídico em D+90</x:v>
      </x:c>
      <x:c r="H558" s="28"/>
      <x:c r="I558" s="28"/>
      <x:c r="J558" s="28"/>
      <x:c r="K558" s="28"/>
      <x:c r="L558" s="28"/>
      <x:c r="M558" s="28"/>
      <x:c r="N558" s="28"/>
    </x:row>
    <x:row r="559">
      <x:c r="A559" s="9" t="str">
        <x:v>Unidade</x:v>
      </x:c>
      <x:c r="B559" s="9" t="str">
        <x:v>Bloco</x:v>
      </x:c>
      <x:c r="C559" s="9" t="str">
        <x:v>Responsável</x:v>
      </x:c>
      <x:c r="D559" s="9" t="str">
        <x:v>Documento</x:v>
      </x:c>
      <x:c r="E559" s="9" t="str">
        <x:v>Telefone</x:v>
      </x:c>
      <x:c r="F559" s="9" t="str">
        <x:v>E-mail</x:v>
      </x:c>
      <x:c r="G559" s="9" t="str">
        <x:v>Vencimento</x:v>
      </x:c>
      <x:c r="H559" s="9" t="str">
        <x:v>Competência</x:v>
      </x:c>
      <x:c r="I559" s="9" t="str">
        <x:v>Valor original</x:v>
      </x:c>
      <x:c r="J559" s="9" t="str">
        <x:v>Valor atualizado</x:v>
      </x:c>
      <x:c r="K559" s="9" t="str">
        <x:v>Status operacional</x:v>
      </x:c>
      <x:c r="L559" s="9" t="str">
        <x:v>Status financeiro</x:v>
      </x:c>
      <x:c r="M559" s="9" t="str">
        <x:v>ID cobrança</x:v>
      </x:c>
      <x:c r="N559" s="9" t="str">
        <x:v>Observação</x:v>
      </x:c>
    </x:row>
    <x:row r="560">
      <x:c r="A560" s="31" t="str">
        <x:f>"000213"</x:f>
        <x:v>000213</x:v>
      </x:c>
      <x:c r="B560" s="32" t="str">
        <x:f>"0"</x:f>
        <x:v>0</x:v>
      </x:c>
      <x:c r="C560" s="32" t="str"/>
      <x:c r="D560" s="32" t="str">
        <x:f>""</x:f>
      </x:c>
      <x:c r="E560" s="32" t="str">
        <x:f>""</x:f>
      </x:c>
      <x:c r="F560" s="32" t="str"/>
      <x:c r="G560" s="33" t="n">
        <x:v>46117</x:v>
      </x:c>
      <x:c r="H560" s="34" t="str">
        <x:v>04/2026</x:v>
      </x:c>
      <x:c r="I560" s="35" t="n">
        <x:v>925.69</x:v>
      </x:c>
      <x:c r="J560" s="35" t="n">
        <x:v>1000.4</x:v>
      </x:c>
      <x:c r="K560" s="34" t="str">
        <x:v>Novo</x:v>
      </x:c>
      <x:c r="L560" s="34" t="str">
        <x:v>Em aberto</x:v>
      </x:c>
      <x:c r="M560" s="34" t="str">
        <x:v>c47b13a2-845e-401c-b401-1244748de669</x:v>
      </x:c>
      <x:c r="N560" s="36" t="str"/>
    </x:row>
    <x:row r="561">
      <x:c r="A561" s="37" t="str">
        <x:f>"LOC"</x:f>
        <x:v>LOC</x:v>
      </x:c>
      <x:c r="B561" s="38" t="str">
        <x:f>"0"</x:f>
        <x:v>0</x:v>
      </x:c>
      <x:c r="C561" s="38" t="str">
        <x:v>4 KL COSTA LTDSA</x:v>
      </x:c>
      <x:c r="D561" s="38" t="str">
        <x:f>"52906647000180"</x:f>
        <x:v>52906647000180</x:v>
      </x:c>
      <x:c r="E561" s="38" t="str">
        <x:f>""</x:f>
      </x:c>
      <x:c r="F561" s="38" t="str">
        <x:v>hugorobertoralves@gmail.com</x:v>
      </x:c>
      <x:c r="G561" s="39" t="n">
        <x:v>46037</x:v>
      </x:c>
      <x:c r="H561" s="16" t="str">
        <x:v>01/2026</x:v>
      </x:c>
      <x:c r="I561" s="40" t="n">
        <x:v>1000</x:v>
      </x:c>
      <x:c r="J561" s="40" t="n">
        <x:v>1114.08</x:v>
      </x:c>
      <x:c r="K561" s="16" t="str">
        <x:v>Novo</x:v>
      </x:c>
      <x:c r="L561" s="16" t="str">
        <x:v>Em aberto</x:v>
      </x:c>
      <x:c r="M561" s="16" t="str">
        <x:v>fe987fca-ee53-435b-9288-8fec2796937d</x:v>
      </x:c>
      <x:c r="N561" s="41" t="str"/>
    </x:row>
    <x:row r="562">
      <x:c r="A562" s="37" t="str">
        <x:f>"LOC"</x:f>
        <x:v>LOC</x:v>
      </x:c>
      <x:c r="B562" s="38" t="str">
        <x:f>"0"</x:f>
        <x:v>0</x:v>
      </x:c>
      <x:c r="C562" s="38" t="str">
        <x:v>4 KL COSTA LTDSA</x:v>
      </x:c>
      <x:c r="D562" s="38" t="str">
        <x:f>"52906647000180"</x:f>
        <x:v>52906647000180</x:v>
      </x:c>
      <x:c r="E562" s="38" t="str">
        <x:f>""</x:f>
      </x:c>
      <x:c r="F562" s="38" t="str">
        <x:v>hugorobertoralves@gmail.com</x:v>
      </x:c>
      <x:c r="G562" s="39" t="n">
        <x:v>46068</x:v>
      </x:c>
      <x:c r="H562" s="16" t="str">
        <x:v>02/2026</x:v>
      </x:c>
      <x:c r="I562" s="40" t="n">
        <x:v>1000</x:v>
      </x:c>
      <x:c r="J562" s="40" t="n">
        <x:v>1099.16</x:v>
      </x:c>
      <x:c r="K562" s="16" t="str">
        <x:v>Novo</x:v>
      </x:c>
      <x:c r="L562" s="16" t="str">
        <x:v>Em aberto</x:v>
      </x:c>
      <x:c r="M562" s="16" t="str">
        <x:v>29eb004a-a140-43f9-8779-b1a4011fa045</x:v>
      </x:c>
      <x:c r="N562" s="41" t="str"/>
    </x:row>
    <x:row r="563">
      <x:c r="A563" s="37" t="str">
        <x:f>"LOC"</x:f>
        <x:v>LOC</x:v>
      </x:c>
      <x:c r="B563" s="38" t="str">
        <x:f>"0"</x:f>
        <x:v>0</x:v>
      </x:c>
      <x:c r="C563" s="38" t="str">
        <x:v>4 KL COSTA LTDSA</x:v>
      </x:c>
      <x:c r="D563" s="38" t="str">
        <x:f>"52906647000180"</x:f>
        <x:v>52906647000180</x:v>
      </x:c>
      <x:c r="E563" s="38" t="str">
        <x:f>""</x:f>
      </x:c>
      <x:c r="F563" s="38" t="str">
        <x:v>hugorobertoralves@gmail.com</x:v>
      </x:c>
      <x:c r="G563" s="39" t="n">
        <x:v>46096</x:v>
      </x:c>
      <x:c r="H563" s="16" t="str">
        <x:v>03/2026</x:v>
      </x:c>
      <x:c r="I563" s="40" t="n">
        <x:v>1000</x:v>
      </x:c>
      <x:c r="J563" s="40" t="n">
        <x:v>1096.8</x:v>
      </x:c>
      <x:c r="K563" s="16" t="str">
        <x:v>Novo</x:v>
      </x:c>
      <x:c r="L563" s="16" t="str">
        <x:v>Em aberto</x:v>
      </x:c>
      <x:c r="M563" s="16" t="str">
        <x:v>782d2111-e9f7-4059-acda-e9071f2f82eb</x:v>
      </x:c>
      <x:c r="N563" s="41" t="str"/>
    </x:row>
    <x:row r="564">
      <x:c r="A564" s="37" t="str">
        <x:f>"LOC"</x:f>
        <x:v>LOC</x:v>
      </x:c>
      <x:c r="B564" s="38" t="str">
        <x:f>"0"</x:f>
        <x:v>0</x:v>
      </x:c>
      <x:c r="C564" s="38" t="str">
        <x:v>4 KL COSTA LTDSA</x:v>
      </x:c>
      <x:c r="D564" s="38" t="str">
        <x:f>"52906647000180"</x:f>
        <x:v>52906647000180</x:v>
      </x:c>
      <x:c r="E564" s="38" t="str">
        <x:f>""</x:f>
      </x:c>
      <x:c r="F564" s="38" t="str">
        <x:v>hugorobertoralves@gmail.com</x:v>
      </x:c>
      <x:c r="G564" s="39" t="n">
        <x:v>46127</x:v>
      </x:c>
      <x:c r="H564" s="16" t="str">
        <x:v>04/2026</x:v>
      </x:c>
      <x:c r="I564" s="40" t="n">
        <x:v>1000</x:v>
      </x:c>
      <x:c r="J564" s="40" t="n">
        <x:v>1080.74</x:v>
      </x:c>
      <x:c r="K564" s="16" t="str">
        <x:v>Novo</x:v>
      </x:c>
      <x:c r="L564" s="16" t="str">
        <x:v>Em aberto</x:v>
      </x:c>
      <x:c r="M564" s="16" t="str">
        <x:v>269a3edd-fe9e-4f3e-830a-64a9202f3b6f</x:v>
      </x:c>
      <x:c r="N564" s="41" t="str"/>
    </x:row>
    <x:row r="565">
      <x:c r="A565" s="37" t="str">
        <x:f>"LOC"</x:f>
        <x:v>LOC</x:v>
      </x:c>
      <x:c r="B565" s="38" t="str">
        <x:f>"0"</x:f>
        <x:v>0</x:v>
      </x:c>
      <x:c r="C565" s="38" t="str">
        <x:v>4 KL COSTA LTDSA</x:v>
      </x:c>
      <x:c r="D565" s="38" t="str">
        <x:f>"52906647000180"</x:f>
        <x:v>52906647000180</x:v>
      </x:c>
      <x:c r="E565" s="38" t="str">
        <x:f>""</x:f>
      </x:c>
      <x:c r="F565" s="38" t="str">
        <x:v>hugorobertoralves@gmail.com</x:v>
      </x:c>
      <x:c r="G565" s="39" t="n">
        <x:v>46157</x:v>
      </x:c>
      <x:c r="H565" s="16" t="str">
        <x:v>05/2026</x:v>
      </x:c>
      <x:c r="I565" s="40" t="n">
        <x:v>1000</x:v>
      </x:c>
      <x:c r="J565" s="40" t="n">
        <x:v>1050.6</x:v>
      </x:c>
      <x:c r="K565" s="16" t="str">
        <x:v>Novo</x:v>
      </x:c>
      <x:c r="L565" s="16" t="str">
        <x:v>Em aberto</x:v>
      </x:c>
      <x:c r="M565" s="16" t="str">
        <x:v>24aebe7f-a088-406b-9c56-94957aff60df</x:v>
      </x:c>
      <x:c r="N565" s="41" t="str"/>
    </x:row>
    <x:row r="566">
      <x:c r="A566" s="37" t="str">
        <x:f>"LOC"</x:f>
        <x:v>LOC</x:v>
      </x:c>
      <x:c r="B566" s="38" t="str">
        <x:f>"0"</x:f>
        <x:v>0</x:v>
      </x:c>
      <x:c r="C566" s="38" t="str">
        <x:v>4 KL COSTA LTDSA</x:v>
      </x:c>
      <x:c r="D566" s="38" t="str">
        <x:f>"52906647000180"</x:f>
        <x:v>52906647000180</x:v>
      </x:c>
      <x:c r="E566" s="38" t="str">
        <x:f>""</x:f>
      </x:c>
      <x:c r="F566" s="38" t="str">
        <x:v>hugorobertoralves@gmail.com</x:v>
      </x:c>
      <x:c r="G566" s="39" t="n">
        <x:v>46188</x:v>
      </x:c>
      <x:c r="H566" s="16" t="str">
        <x:v>06/2026</x:v>
      </x:c>
      <x:c r="I566" s="40" t="n">
        <x:v>1000</x:v>
      </x:c>
      <x:c r="J566" s="40" t="n">
        <x:v>1040.4</x:v>
      </x:c>
      <x:c r="K566" s="16" t="str">
        <x:v>Novo</x:v>
      </x:c>
      <x:c r="L566" s="16" t="str">
        <x:v>Em aberto</x:v>
      </x:c>
      <x:c r="M566" s="16" t="str">
        <x:v>d6c87b4f-2260-4e2f-b064-a16477b2ed70</x:v>
      </x:c>
      <x:c r="N566" s="41" t="str"/>
    </x:row>
    <x:row r="567">
      <x:c r="A567" s="42" t="str">
        <x:f>"MERCAD"</x:f>
        <x:v>MERCAD</x:v>
      </x:c>
      <x:c r="B567" s="43" t="str">
        <x:f>"0"</x:f>
        <x:v>0</x:v>
      </x:c>
      <x:c r="C567" s="43" t="str">
        <x:v>NUTRICAR</x:v>
      </x:c>
      <x:c r="D567" s="43" t="str">
        <x:f>""</x:f>
      </x:c>
      <x:c r="E567" s="43" t="str">
        <x:f>""</x:f>
      </x:c>
      <x:c r="F567" s="43" t="str"/>
      <x:c r="G567" s="44" t="n">
        <x:v>46091</x:v>
      </x:c>
      <x:c r="H567" s="20" t="str">
        <x:v>03/2026</x:v>
      </x:c>
      <x:c r="I567" s="45" t="n">
        <x:v>2507.39</x:v>
      </x:c>
      <x:c r="J567" s="45" t="n">
        <x:v>2750.11</x:v>
      </x:c>
      <x:c r="K567" s="20" t="str">
        <x:v>Novo</x:v>
      </x:c>
      <x:c r="L567" s="20" t="str">
        <x:v>Em aberto</x:v>
      </x:c>
      <x:c r="M567" s="20" t="str">
        <x:v>9f8d2801-bc1a-4373-99ea-28c68561e943</x:v>
      </x:c>
      <x:c r="N567" s="46" t="str"/>
    </x:row>
    <x:row r="568">
      <x:c r="A568" s="47" t="str">
        <x:v>Subtotal</x:v>
      </x:c>
      <x:c r="B568" s="47" t="str"/>
      <x:c r="C568" s="47" t="str"/>
      <x:c r="D568" s="47" t="str"/>
      <x:c r="E568" s="47" t="str"/>
      <x:c r="F568" s="47" t="str"/>
      <x:c r="G568" s="47" t="str"/>
      <x:c r="H568" s="47" t="str"/>
      <x:c r="I568" s="47" t="str"/>
      <x:c r="J568" s="48" t="n">
        <x:v>10232.29</x:v>
      </x:c>
      <x:c r="K568" s="47" t="str">
        <x:v>8 novas</x:v>
      </x:c>
      <x:c r="L568" s="47" t="str">
        <x:v>0 ativas</x:v>
      </x:c>
      <x:c r="M568" s="47" t="str"/>
      <x:c r="N568" s="47" t="str"/>
    </x:row>
    <x:row r="570">
      <x:c r="A570" s="26" t="str">
        <x:v>CONDOMÍNIO BOSQUE MARAJOARA</x:v>
      </x:c>
      <x:c r="B570" s="26"/>
      <x:c r="C570" s="26"/>
      <x:c r="D570" s="26"/>
      <x:c r="E570" s="26"/>
      <x:c r="F570" s="26"/>
      <x:c r="G570" s="26"/>
      <x:c r="H570" s="26"/>
      <x:c r="I570" s="26"/>
      <x:c r="J570" s="26"/>
      <x:c r="K570" s="26"/>
      <x:c r="L570" s="26"/>
      <x:c r="M570" s="26"/>
      <x:c r="N570" s="26"/>
    </x:row>
    <x:row r="571">
      <x:c r="A571" s="28" t="str">
        <x:v>CNPJ</x:v>
      </x:c>
      <x:c r="B571" s="28" t="str">
        <x:v>32.670.404/0001-89</x:v>
      </x:c>
      <x:c r="C571" s="28"/>
      <x:c r="D571" s="28" t="str">
        <x:v>Dia de vencimento</x:v>
      </x:c>
      <x:c r="E571" s="28" t="n">
        <x:v>10</x:v>
      </x:c>
      <x:c r="F571" s="28" t="str">
        <x:v>Régua</x:v>
      </x:c>
      <x:c r="G571" s="28" t="str">
        <x:v>D+30 · pré-jurídico em D+60</x:v>
      </x:c>
      <x:c r="H571" s="28"/>
      <x:c r="I571" s="28"/>
      <x:c r="J571" s="28"/>
      <x:c r="K571" s="28"/>
      <x:c r="L571" s="28"/>
      <x:c r="M571" s="28"/>
      <x:c r="N571" s="28"/>
    </x:row>
    <x:row r="572">
      <x:c r="A572" s="9" t="str">
        <x:v>Unidade</x:v>
      </x:c>
      <x:c r="B572" s="9" t="str">
        <x:v>Bloco</x:v>
      </x:c>
      <x:c r="C572" s="9" t="str">
        <x:v>Responsável</x:v>
      </x:c>
      <x:c r="D572" s="9" t="str">
        <x:v>Documento</x:v>
      </x:c>
      <x:c r="E572" s="9" t="str">
        <x:v>Telefone</x:v>
      </x:c>
      <x:c r="F572" s="9" t="str">
        <x:v>E-mail</x:v>
      </x:c>
      <x:c r="G572" s="9" t="str">
        <x:v>Vencimento</x:v>
      </x:c>
      <x:c r="H572" s="9" t="str">
        <x:v>Competência</x:v>
      </x:c>
      <x:c r="I572" s="9" t="str">
        <x:v>Valor original</x:v>
      </x:c>
      <x:c r="J572" s="9" t="str">
        <x:v>Valor atualizado</x:v>
      </x:c>
      <x:c r="K572" s="9" t="str">
        <x:v>Status operacional</x:v>
      </x:c>
      <x:c r="L572" s="9" t="str">
        <x:v>Status financeiro</x:v>
      </x:c>
      <x:c r="M572" s="9" t="str">
        <x:v>ID cobrança</x:v>
      </x:c>
      <x:c r="N572" s="9" t="str">
        <x:v>Observação</x:v>
      </x:c>
    </x:row>
    <x:row r="573">
      <x:c r="A573" s="31" t="str">
        <x:f>"00033A"</x:f>
        <x:v>00033A</x:v>
      </x:c>
      <x:c r="B573" s="32" t="str">
        <x:f>"0"</x:f>
        <x:v>0</x:v>
      </x:c>
      <x:c r="C573" s="32" t="str">
        <x:v>ALEXANDRE DE SOUSA FREITAS</x:v>
      </x:c>
      <x:c r="D573" s="32" t="str">
        <x:f>""</x:f>
      </x:c>
      <x:c r="E573" s="32" t="str">
        <x:f>""</x:f>
      </x:c>
      <x:c r="F573" s="32" t="str"/>
      <x:c r="G573" s="33" t="n">
        <x:v>46213</x:v>
      </x:c>
      <x:c r="H573" s="34" t="str">
        <x:v>07/2026</x:v>
      </x:c>
      <x:c r="I573" s="35" t="n">
        <x:v>703.47</x:v>
      </x:c>
      <x:c r="J573" s="35" t="n">
        <x:v>728.12</x:v>
      </x:c>
      <x:c r="K573" s="34" t="str">
        <x:v>Novo</x:v>
      </x:c>
      <x:c r="L573" s="34" t="str">
        <x:v>Em aberto</x:v>
      </x:c>
      <x:c r="M573" s="34" t="str">
        <x:v>67424caf-e5fb-4da8-b8e1-eeede3a6910f</x:v>
      </x:c>
      <x:c r="N573" s="36" t="str"/>
    </x:row>
    <x:row r="574">
      <x:c r="A574" s="37" t="str">
        <x:f>"00043D"</x:f>
        <x:v>00043D</x:v>
      </x:c>
      <x:c r="B574" s="38" t="str">
        <x:f>"0"</x:f>
        <x:v>0</x:v>
      </x:c>
      <x:c r="C574" s="38" t="str">
        <x:v>ANDERSON TAVEIRA LIMA</x:v>
      </x:c>
      <x:c r="D574" s="38" t="str">
        <x:f>""</x:f>
      </x:c>
      <x:c r="E574" s="38" t="str">
        <x:f>""</x:f>
      </x:c>
      <x:c r="F574" s="38" t="str"/>
      <x:c r="G574" s="39" t="n">
        <x:v>46213</x:v>
      </x:c>
      <x:c r="H574" s="16" t="str">
        <x:v>07/2026</x:v>
      </x:c>
      <x:c r="I574" s="40" t="n">
        <x:v>703.47</x:v>
      </x:c>
      <x:c r="J574" s="40" t="n">
        <x:v>728.12</x:v>
      </x:c>
      <x:c r="K574" s="16" t="str">
        <x:v>Novo</x:v>
      </x:c>
      <x:c r="L574" s="16" t="str">
        <x:v>Em aberto</x:v>
      </x:c>
      <x:c r="M574" s="16" t="str">
        <x:v>2d6c65cd-d3c6-4a2d-a8b6-f6075cb723be</x:v>
      </x:c>
      <x:c r="N574" s="41" t="str"/>
    </x:row>
    <x:row r="575">
      <x:c r="A575" s="37" t="str">
        <x:f>"00051B"</x:f>
        <x:v>00051B</x:v>
      </x:c>
      <x:c r="B575" s="38" t="str">
        <x:f>"0"</x:f>
        <x:v>0</x:v>
      </x:c>
      <x:c r="C575" s="38" t="str">
        <x:v>RODRIGO FAGUNDES DE LIMA</x:v>
      </x:c>
      <x:c r="D575" s="38" t="str">
        <x:f>""</x:f>
      </x:c>
      <x:c r="E575" s="38" t="str">
        <x:f>""</x:f>
      </x:c>
      <x:c r="F575" s="38" t="str"/>
      <x:c r="G575" s="39" t="n">
        <x:v>46213</x:v>
      </x:c>
      <x:c r="H575" s="16" t="str">
        <x:v>07/2026</x:v>
      </x:c>
      <x:c r="I575" s="40" t="n">
        <x:v>925.55</x:v>
      </x:c>
      <x:c r="J575" s="40" t="n">
        <x:v>957.98</x:v>
      </x:c>
      <x:c r="K575" s="16" t="str">
        <x:v>Novo</x:v>
      </x:c>
      <x:c r="L575" s="16" t="str">
        <x:v>Em aberto</x:v>
      </x:c>
      <x:c r="M575" s="16" t="str">
        <x:v>1f695a05-2d82-4908-8296-0ff13553db87</x:v>
      </x:c>
      <x:c r="N575" s="41" t="str"/>
    </x:row>
    <x:row r="576">
      <x:c r="A576" s="37" t="str">
        <x:f>"00092D"</x:f>
        <x:v>00092D</x:v>
      </x:c>
      <x:c r="B576" s="38" t="str">
        <x:f>"0"</x:f>
        <x:v>0</x:v>
      </x:c>
      <x:c r="C576" s="38" t="str">
        <x:v>DAYANA CINTRA CARNEVALE</x:v>
      </x:c>
      <x:c r="D576" s="38" t="str">
        <x:f>""</x:f>
      </x:c>
      <x:c r="E576" s="38" t="str">
        <x:f>""</x:f>
      </x:c>
      <x:c r="F576" s="38" t="str"/>
      <x:c r="G576" s="39" t="n">
        <x:v>46213</x:v>
      </x:c>
      <x:c r="H576" s="16" t="str">
        <x:v>07/2026</x:v>
      </x:c>
      <x:c r="I576" s="40" t="n">
        <x:v>933.11</x:v>
      </x:c>
      <x:c r="J576" s="40" t="n">
        <x:v>965.81</x:v>
      </x:c>
      <x:c r="K576" s="16" t="str">
        <x:v>Novo</x:v>
      </x:c>
      <x:c r="L576" s="16" t="str">
        <x:v>Em aberto</x:v>
      </x:c>
      <x:c r="M576" s="16" t="str">
        <x:v>46f9f6b1-84e5-4ec7-9b08-fab1d8d30e6a</x:v>
      </x:c>
      <x:c r="N576" s="41" t="str"/>
    </x:row>
    <x:row r="577">
      <x:c r="A577" s="37" t="str">
        <x:f>"00112B"</x:f>
        <x:v>00112B</x:v>
      </x:c>
      <x:c r="B577" s="38" t="str">
        <x:f>"0"</x:f>
        <x:v>0</x:v>
      </x:c>
      <x:c r="C577" s="38" t="str">
        <x:v>ANA FLAVIA FERREIRA DA SILVA</x:v>
      </x:c>
      <x:c r="D577" s="38" t="str">
        <x:f>""</x:f>
      </x:c>
      <x:c r="E577" s="38" t="str">
        <x:f>""</x:f>
      </x:c>
      <x:c r="F577" s="38" t="str"/>
      <x:c r="G577" s="39" t="n">
        <x:v>46032</x:v>
      </x:c>
      <x:c r="H577" s="16" t="str">
        <x:v>01/2026</x:v>
      </x:c>
      <x:c r="I577" s="40" t="n">
        <x:v>1146.13</x:v>
      </x:c>
      <x:c r="J577" s="40" t="n">
        <x:v>1298.01</x:v>
      </x:c>
      <x:c r="K577" s="16" t="str">
        <x:v>Novo</x:v>
      </x:c>
      <x:c r="L577" s="16" t="str">
        <x:v>Em aberto</x:v>
      </x:c>
      <x:c r="M577" s="16" t="str">
        <x:v>be68bb0e-7892-47eb-82f9-915ba3238e28</x:v>
      </x:c>
      <x:c r="N577" s="41" t="str"/>
    </x:row>
    <x:row r="578">
      <x:c r="A578" s="37" t="str">
        <x:f>"00112B"</x:f>
        <x:v>00112B</x:v>
      </x:c>
      <x:c r="B578" s="38" t="str">
        <x:f>"0"</x:f>
        <x:v>0</x:v>
      </x:c>
      <x:c r="C578" s="38" t="str">
        <x:v>ANA FLAVIA FERREIRA DA SILVA</x:v>
      </x:c>
      <x:c r="D578" s="38" t="str">
        <x:f>""</x:f>
      </x:c>
      <x:c r="E578" s="38" t="str">
        <x:f>""</x:f>
      </x:c>
      <x:c r="F578" s="38" t="str"/>
      <x:c r="G578" s="39" t="n">
        <x:v>46063</x:v>
      </x:c>
      <x:c r="H578" s="16" t="str">
        <x:v>02/2026</x:v>
      </x:c>
      <x:c r="I578" s="40" t="n">
        <x:v>995.07</x:v>
      </x:c>
      <x:c r="J578" s="40" t="n">
        <x:v>1113.62</x:v>
      </x:c>
      <x:c r="K578" s="16" t="str">
        <x:v>Novo</x:v>
      </x:c>
      <x:c r="L578" s="16" t="str">
        <x:v>Em aberto</x:v>
      </x:c>
      <x:c r="M578" s="16" t="str">
        <x:v>4540a39f-d702-4ba5-8901-0658e17f3371</x:v>
      </x:c>
      <x:c r="N578" s="41" t="str"/>
    </x:row>
    <x:row r="579">
      <x:c r="A579" s="42" t="str">
        <x:f>"00154C"</x:f>
        <x:v>00154C</x:v>
      </x:c>
      <x:c r="B579" s="43" t="str">
        <x:f>"0"</x:f>
        <x:v>0</x:v>
      </x:c>
      <x:c r="C579" s="43" t="str">
        <x:v>MEIRE ANGELA ARAUJO ANDRADE</x:v>
      </x:c>
      <x:c r="D579" s="43" t="str">
        <x:f>""</x:f>
      </x:c>
      <x:c r="E579" s="43" t="str">
        <x:f>""</x:f>
      </x:c>
      <x:c r="F579" s="43" t="str"/>
      <x:c r="G579" s="44" t="n">
        <x:v>46213</x:v>
      </x:c>
      <x:c r="H579" s="20" t="str">
        <x:v>07/2026</x:v>
      </x:c>
      <x:c r="I579" s="45" t="n">
        <x:v>969.03</x:v>
      </x:c>
      <x:c r="J579" s="45" t="n">
        <x:v>1002.99</x:v>
      </x:c>
      <x:c r="K579" s="20" t="str">
        <x:v>Novo</x:v>
      </x:c>
      <x:c r="L579" s="20" t="str">
        <x:v>Em aberto</x:v>
      </x:c>
      <x:c r="M579" s="20" t="str">
        <x:v>b1e611fb-71ac-48e5-b4b7-b3a902e35ab5</x:v>
      </x:c>
      <x:c r="N579" s="46" t="str"/>
    </x:row>
    <x:row r="580">
      <x:c r="A580" s="47" t="str">
        <x:v>Subtotal</x:v>
      </x:c>
      <x:c r="B580" s="47" t="str"/>
      <x:c r="C580" s="47" t="str"/>
      <x:c r="D580" s="47" t="str"/>
      <x:c r="E580" s="47" t="str"/>
      <x:c r="F580" s="47" t="str"/>
      <x:c r="G580" s="47" t="str"/>
      <x:c r="H580" s="47" t="str"/>
      <x:c r="I580" s="47" t="str"/>
      <x:c r="J580" s="48" t="n">
        <x:v>6794.65</x:v>
      </x:c>
      <x:c r="K580" s="47" t="str">
        <x:v>7 novas</x:v>
      </x:c>
      <x:c r="L580" s="47" t="str">
        <x:v>0 ativas</x:v>
      </x:c>
      <x:c r="M580" s="47" t="str"/>
      <x:c r="N580" s="47" t="str"/>
    </x:row>
    <x:row r="582">
      <x:c r="A582" s="26" t="str">
        <x:v>CONDOMÍNIO CÁDIZ JARDIM PRUDÊNCIA</x:v>
      </x:c>
      <x:c r="B582" s="26"/>
      <x:c r="C582" s="26"/>
      <x:c r="D582" s="26"/>
      <x:c r="E582" s="26"/>
      <x:c r="F582" s="26"/>
      <x:c r="G582" s="26"/>
      <x:c r="H582" s="26"/>
      <x:c r="I582" s="26"/>
      <x:c r="J582" s="26"/>
      <x:c r="K582" s="26"/>
      <x:c r="L582" s="26"/>
      <x:c r="M582" s="26"/>
      <x:c r="N582" s="26"/>
    </x:row>
    <x:row r="583">
      <x:c r="A583" s="28" t="str">
        <x:v>CNPJ</x:v>
      </x:c>
      <x:c r="B583" s="28" t="str">
        <x:v>47.908.154/0001-40</x:v>
      </x:c>
      <x:c r="C583" s="28"/>
      <x:c r="D583" s="28" t="str">
        <x:v>Dia de vencimento</x:v>
      </x:c>
      <x:c r="E583" s="28" t="n">
        <x:v>5</x:v>
      </x:c>
      <x:c r="F583" s="28" t="str">
        <x:v>Régua</x:v>
      </x:c>
      <x:c r="G583" s="28" t="str">
        <x:v>D+45 · pré-jurídico em D+75</x:v>
      </x:c>
      <x:c r="H583" s="28"/>
      <x:c r="I583" s="28"/>
      <x:c r="J583" s="28"/>
      <x:c r="K583" s="28"/>
      <x:c r="L583" s="28"/>
      <x:c r="M583" s="28"/>
      <x:c r="N583" s="28"/>
    </x:row>
    <x:row r="584">
      <x:c r="A584" s="9" t="str">
        <x:v>Unidade</x:v>
      </x:c>
      <x:c r="B584" s="9" t="str">
        <x:v>Bloco</x:v>
      </x:c>
      <x:c r="C584" s="9" t="str">
        <x:v>Responsável</x:v>
      </x:c>
      <x:c r="D584" s="9" t="str">
        <x:v>Documento</x:v>
      </x:c>
      <x:c r="E584" s="9" t="str">
        <x:v>Telefone</x:v>
      </x:c>
      <x:c r="F584" s="9" t="str">
        <x:v>E-mail</x:v>
      </x:c>
      <x:c r="G584" s="9" t="str">
        <x:v>Vencimento</x:v>
      </x:c>
      <x:c r="H584" s="9" t="str">
        <x:v>Competência</x:v>
      </x:c>
      <x:c r="I584" s="9" t="str">
        <x:v>Valor original</x:v>
      </x:c>
      <x:c r="J584" s="9" t="str">
        <x:v>Valor atualizado</x:v>
      </x:c>
      <x:c r="K584" s="9" t="str">
        <x:v>Status operacional</x:v>
      </x:c>
      <x:c r="L584" s="9" t="str">
        <x:v>Status financeiro</x:v>
      </x:c>
      <x:c r="M584" s="9" t="str">
        <x:v>ID cobrança</x:v>
      </x:c>
      <x:c r="N584" s="9" t="str">
        <x:v>Observação</x:v>
      </x:c>
    </x:row>
    <x:row r="585">
      <x:c r="A585" s="31" t="str">
        <x:f>"000501"</x:f>
        <x:v>000501</x:v>
      </x:c>
      <x:c r="B585" s="32" t="str">
        <x:f>"0"</x:f>
        <x:v>0</x:v>
      </x:c>
      <x:c r="C585" s="32" t="str">
        <x:v>DANILA BATISTA DOS SANTOS</x:v>
      </x:c>
      <x:c r="D585" s="32" t="str">
        <x:f>""</x:f>
      </x:c>
      <x:c r="E585" s="32" t="str">
        <x:f>""</x:f>
      </x:c>
      <x:c r="F585" s="32" t="str"/>
      <x:c r="G585" s="33" t="n">
        <x:v>46117</x:v>
      </x:c>
      <x:c r="H585" s="34" t="str">
        <x:v>04/2026</x:v>
      </x:c>
      <x:c r="I585" s="35" t="n">
        <x:v>511.48</x:v>
      </x:c>
      <x:c r="J585" s="35" t="n">
        <x:v>552.77</x:v>
      </x:c>
      <x:c r="K585" s="34" t="str">
        <x:v>Novo</x:v>
      </x:c>
      <x:c r="L585" s="34" t="str">
        <x:v>Em aberto</x:v>
      </x:c>
      <x:c r="M585" s="34" t="str">
        <x:v>e1f6f79c-3f32-4d3a-87b6-c6cce6f4f101</x:v>
      </x:c>
      <x:c r="N585" s="36" t="str"/>
    </x:row>
    <x:row r="586">
      <x:c r="A586" s="37" t="str">
        <x:f>"000512"</x:f>
        <x:v>000512</x:v>
      </x:c>
      <x:c r="B586" s="38" t="str">
        <x:f>"0"</x:f>
        <x:v>0</x:v>
      </x:c>
      <x:c r="C586" s="38" t="str">
        <x:v>LARISSA FONTOURA FERNANDES M LEITE</x:v>
      </x:c>
      <x:c r="D586" s="38" t="str">
        <x:f>""</x:f>
      </x:c>
      <x:c r="E586" s="38" t="str">
        <x:f>""</x:f>
      </x:c>
      <x:c r="F586" s="38" t="str"/>
      <x:c r="G586" s="39" t="n">
        <x:v>46178</x:v>
      </x:c>
      <x:c r="H586" s="16" t="str">
        <x:v>06/2026</x:v>
      </x:c>
      <x:c r="I586" s="40" t="n">
        <x:v>555.54</x:v>
      </x:c>
      <x:c r="J586" s="40" t="n">
        <x:v>577.98</x:v>
      </x:c>
      <x:c r="K586" s="16" t="str">
        <x:v>Novo</x:v>
      </x:c>
      <x:c r="L586" s="16" t="str">
        <x:v>Em aberto</x:v>
      </x:c>
      <x:c r="M586" s="16" t="str">
        <x:v>e7200d6c-1648-4615-88e2-0b4158d05ff7</x:v>
      </x:c>
      <x:c r="N586" s="41" t="str"/>
    </x:row>
    <x:row r="587">
      <x:c r="A587" s="37" t="str">
        <x:f>"000513"</x:f>
        <x:v>000513</x:v>
      </x:c>
      <x:c r="B587" s="38" t="str">
        <x:f>"0"</x:f>
        <x:v>0</x:v>
      </x:c>
      <x:c r="C587" s="38" t="str">
        <x:v>GABRIELA SEGLIO DE CASTRO</x:v>
      </x:c>
      <x:c r="D587" s="38" t="str">
        <x:f>""</x:f>
      </x:c>
      <x:c r="E587" s="38" t="str">
        <x:f>""</x:f>
      </x:c>
      <x:c r="F587" s="38" t="str"/>
      <x:c r="G587" s="39" t="n">
        <x:v>46086</x:v>
      </x:c>
      <x:c r="H587" s="16" t="str">
        <x:v>03/2026</x:v>
      </x:c>
      <x:c r="I587" s="40" t="n">
        <x:v>504.77</x:v>
      </x:c>
      <x:c r="J587" s="40" t="n">
        <x:v>553.65</x:v>
      </x:c>
      <x:c r="K587" s="16" t="str">
        <x:v>Novo</x:v>
      </x:c>
      <x:c r="L587" s="16" t="str">
        <x:v>Em aberto</x:v>
      </x:c>
      <x:c r="M587" s="16" t="str">
        <x:v>5aea3904-a225-4916-b5a2-f82cc0680dea</x:v>
      </x:c>
      <x:c r="N587" s="41" t="str"/>
    </x:row>
    <x:row r="588">
      <x:c r="A588" s="37" t="str">
        <x:f>"000513"</x:f>
        <x:v>000513</x:v>
      </x:c>
      <x:c r="B588" s="38" t="str">
        <x:f>"0"</x:f>
        <x:v>0</x:v>
      </x:c>
      <x:c r="C588" s="38" t="str">
        <x:v>GABRIELA SEGLIO DE CASTRO</x:v>
      </x:c>
      <x:c r="D588" s="38" t="str">
        <x:f>""</x:f>
      </x:c>
      <x:c r="E588" s="38" t="str">
        <x:f>""</x:f>
      </x:c>
      <x:c r="F588" s="38" t="str"/>
      <x:c r="G588" s="39" t="n">
        <x:v>46117</x:v>
      </x:c>
      <x:c r="H588" s="16" t="str">
        <x:v>04/2026</x:v>
      </x:c>
      <x:c r="I588" s="40" t="n">
        <x:v>511.48</x:v>
      </x:c>
      <x:c r="J588" s="40" t="n">
        <x:v>552.77</x:v>
      </x:c>
      <x:c r="K588" s="16" t="str">
        <x:v>Novo</x:v>
      </x:c>
      <x:c r="L588" s="16" t="str">
        <x:v>Em aberto</x:v>
      </x:c>
      <x:c r="M588" s="16" t="str">
        <x:v>97826145-4ee9-439a-a4b0-60a833467c7a</x:v>
      </x:c>
      <x:c r="N588" s="41" t="str"/>
    </x:row>
    <x:row r="589">
      <x:c r="A589" s="37" t="str">
        <x:f>"000513"</x:f>
        <x:v>000513</x:v>
      </x:c>
      <x:c r="B589" s="38" t="str">
        <x:f>"0"</x:f>
        <x:v>0</x:v>
      </x:c>
      <x:c r="C589" s="38" t="str">
        <x:v>GABRIELA SEGLIO DE CASTRO</x:v>
      </x:c>
      <x:c r="D589" s="38" t="str">
        <x:f>""</x:f>
      </x:c>
      <x:c r="E589" s="38" t="str">
        <x:f>""</x:f>
      </x:c>
      <x:c r="F589" s="38" t="str"/>
      <x:c r="G589" s="39" t="n">
        <x:v>46147</x:v>
      </x:c>
      <x:c r="H589" s="16" t="str">
        <x:v>05/2026</x:v>
      </x:c>
      <x:c r="I589" s="40" t="n">
        <x:v>507.15</x:v>
      </x:c>
      <x:c r="J589" s="40" t="n">
        <x:v>532.8</x:v>
      </x:c>
      <x:c r="K589" s="16" t="str">
        <x:v>Novo</x:v>
      </x:c>
      <x:c r="L589" s="16" t="str">
        <x:v>Em aberto</x:v>
      </x:c>
      <x:c r="M589" s="16" t="str">
        <x:v>fbcf7ef8-3b29-4764-a2ea-1026e0f49bb4</x:v>
      </x:c>
      <x:c r="N589" s="41" t="str"/>
    </x:row>
    <x:row r="590">
      <x:c r="A590" s="37" t="str">
        <x:f>"000513"</x:f>
        <x:v>000513</x:v>
      </x:c>
      <x:c r="B590" s="38" t="str">
        <x:f>"0"</x:f>
        <x:v>0</x:v>
      </x:c>
      <x:c r="C590" s="38" t="str">
        <x:v>GABRIELA SEGLIO DE CASTRO</x:v>
      </x:c>
      <x:c r="D590" s="38" t="str">
        <x:f>""</x:f>
      </x:c>
      <x:c r="E590" s="38" t="str">
        <x:f>""</x:f>
      </x:c>
      <x:c r="F590" s="38" t="str"/>
      <x:c r="G590" s="39" t="n">
        <x:v>46178</x:v>
      </x:c>
      <x:c r="H590" s="16" t="str">
        <x:v>06/2026</x:v>
      </x:c>
      <x:c r="I590" s="40" t="n">
        <x:v>555.54</x:v>
      </x:c>
      <x:c r="J590" s="40" t="n">
        <x:v>577.98</x:v>
      </x:c>
      <x:c r="K590" s="16" t="str">
        <x:v>Novo</x:v>
      </x:c>
      <x:c r="L590" s="16" t="str">
        <x:v>Em aberto</x:v>
      </x:c>
      <x:c r="M590" s="16" t="str">
        <x:v>bad27b59-65a1-45af-94b9-1133e27e263e</x:v>
      </x:c>
      <x:c r="N590" s="41" t="str"/>
    </x:row>
    <x:row r="591">
      <x:c r="A591" s="37" t="str">
        <x:f>"000602"</x:f>
        <x:v>000602</x:v>
      </x:c>
      <x:c r="B591" s="38" t="str">
        <x:f>"0"</x:f>
        <x:v>0</x:v>
      </x:c>
      <x:c r="C591" s="38" t="str">
        <x:v>MARCO ANTONIO CARDOSO MACHADO</x:v>
      </x:c>
      <x:c r="D591" s="38" t="str">
        <x:f>""</x:f>
      </x:c>
      <x:c r="E591" s="38" t="str">
        <x:f>""</x:f>
      </x:c>
      <x:c r="F591" s="38" t="str"/>
      <x:c r="G591" s="39" t="n">
        <x:v>46027</x:v>
      </x:c>
      <x:c r="H591" s="16" t="str">
        <x:v>01/2026</x:v>
      </x:c>
      <x:c r="I591" s="40" t="n">
        <x:v>538.7</x:v>
      </x:c>
      <x:c r="J591" s="40" t="n">
        <x:v>600.14</x:v>
      </x:c>
      <x:c r="K591" s="16" t="str">
        <x:v>Novo</x:v>
      </x:c>
      <x:c r="L591" s="16" t="str">
        <x:v>Em aberto</x:v>
      </x:c>
      <x:c r="M591" s="16" t="str">
        <x:v>e01e45f8-0a70-4aba-bc8d-84178d874186</x:v>
      </x:c>
      <x:c r="N591" s="41" t="str"/>
    </x:row>
    <x:row r="592">
      <x:c r="A592" s="37" t="str">
        <x:f>"000602"</x:f>
        <x:v>000602</x:v>
      </x:c>
      <x:c r="B592" s="38" t="str">
        <x:f>"0"</x:f>
        <x:v>0</x:v>
      </x:c>
      <x:c r="C592" s="38" t="str">
        <x:v>MARCO ANTONIO CARDOSO MACHADO</x:v>
      </x:c>
      <x:c r="D592" s="38" t="str">
        <x:f>""</x:f>
      </x:c>
      <x:c r="E592" s="38" t="str">
        <x:f>""</x:f>
      </x:c>
      <x:c r="F592" s="38" t="str"/>
      <x:c r="G592" s="39" t="n">
        <x:v>46058</x:v>
      </x:c>
      <x:c r="H592" s="16" t="str">
        <x:v>02/2026</x:v>
      </x:c>
      <x:c r="I592" s="40" t="n">
        <x:v>515.36</x:v>
      </x:c>
      <x:c r="J592" s="40" t="n">
        <x:v>566.48</x:v>
      </x:c>
      <x:c r="K592" s="16" t="str">
        <x:v>Novo</x:v>
      </x:c>
      <x:c r="L592" s="16" t="str">
        <x:v>Em aberto</x:v>
      </x:c>
      <x:c r="M592" s="16" t="str">
        <x:v>c4da4121-d4d9-4e26-bd1f-c0cdf5d98531</x:v>
      </x:c>
      <x:c r="N592" s="41" t="str"/>
    </x:row>
    <x:row r="593">
      <x:c r="A593" s="37" t="str">
        <x:f>"000602"</x:f>
        <x:v>000602</x:v>
      </x:c>
      <x:c r="B593" s="38" t="str">
        <x:f>"0"</x:f>
        <x:v>0</x:v>
      </x:c>
      <x:c r="C593" s="38" t="str">
        <x:v>MARCO ANTONIO CARDOSO MACHADO</x:v>
      </x:c>
      <x:c r="D593" s="38" t="str">
        <x:f>""</x:f>
      </x:c>
      <x:c r="E593" s="38" t="str">
        <x:f>""</x:f>
      </x:c>
      <x:c r="F593" s="38" t="str"/>
      <x:c r="G593" s="39" t="n">
        <x:v>46178</x:v>
      </x:c>
      <x:c r="H593" s="16" t="str">
        <x:v>06/2026</x:v>
      </x:c>
      <x:c r="I593" s="40" t="n">
        <x:v>555.54</x:v>
      </x:c>
      <x:c r="J593" s="40" t="n">
        <x:v>577.98</x:v>
      </x:c>
      <x:c r="K593" s="16" t="str">
        <x:v>Novo</x:v>
      </x:c>
      <x:c r="L593" s="16" t="str">
        <x:v>Em aberto</x:v>
      </x:c>
      <x:c r="M593" s="16" t="str">
        <x:v>243cf146-7586-4d8e-92e7-d5ab4c6833af</x:v>
      </x:c>
      <x:c r="N593" s="41" t="str"/>
    </x:row>
    <x:row r="594">
      <x:c r="A594" s="37" t="str">
        <x:f>"000805"</x:f>
        <x:v>000805</x:v>
      </x:c>
      <x:c r="B594" s="38" t="str">
        <x:f>"0"</x:f>
        <x:v>0</x:v>
      </x:c>
      <x:c r="C594" s="38" t="str">
        <x:v>TAMARA AHMAD RABAH</x:v>
      </x:c>
      <x:c r="D594" s="38" t="str">
        <x:f>""</x:f>
      </x:c>
      <x:c r="E594" s="38" t="str">
        <x:f>""</x:f>
      </x:c>
      <x:c r="F594" s="38" t="str"/>
      <x:c r="G594" s="39" t="n">
        <x:v>46178</x:v>
      </x:c>
      <x:c r="H594" s="16" t="str">
        <x:v>06/2026</x:v>
      </x:c>
      <x:c r="I594" s="40" t="n">
        <x:v>555.54</x:v>
      </x:c>
      <x:c r="J594" s="40" t="n">
        <x:v>577.98</x:v>
      </x:c>
      <x:c r="K594" s="16" t="str">
        <x:v>Novo</x:v>
      </x:c>
      <x:c r="L594" s="16" t="str">
        <x:v>Em aberto</x:v>
      </x:c>
      <x:c r="M594" s="16" t="str">
        <x:v>e1624d06-d2d4-4c7d-8368-2a026ab2b402</x:v>
      </x:c>
      <x:c r="N594" s="41" t="str"/>
    </x:row>
    <x:row r="595">
      <x:c r="A595" s="37" t="str">
        <x:f>"000906"</x:f>
        <x:v>000906</x:v>
      </x:c>
      <x:c r="B595" s="38" t="str">
        <x:f>"0"</x:f>
        <x:v>0</x:v>
      </x:c>
      <x:c r="C595" s="38" t="str">
        <x:v>NILZETI DA SILVA AMORIM</x:v>
      </x:c>
      <x:c r="D595" s="38" t="str">
        <x:f>""</x:f>
      </x:c>
      <x:c r="E595" s="38" t="str">
        <x:f>""</x:f>
      </x:c>
      <x:c r="F595" s="38" t="str"/>
      <x:c r="G595" s="39" t="n">
        <x:v>46058</x:v>
      </x:c>
      <x:c r="H595" s="16" t="str">
        <x:v>02/2026</x:v>
      </x:c>
      <x:c r="I595" s="40" t="n">
        <x:v>515.36</x:v>
      </x:c>
      <x:c r="J595" s="40" t="n">
        <x:v>566.48</x:v>
      </x:c>
      <x:c r="K595" s="16" t="str">
        <x:v>Novo</x:v>
      </x:c>
      <x:c r="L595" s="16" t="str">
        <x:v>Em aberto</x:v>
      </x:c>
      <x:c r="M595" s="16" t="str">
        <x:v>e57e8225-c29c-43ae-a30d-485c6a6b8f95</x:v>
      </x:c>
      <x:c r="N595" s="41" t="str"/>
    </x:row>
    <x:row r="596">
      <x:c r="A596" s="37" t="str">
        <x:f>"000906"</x:f>
        <x:v>000906</x:v>
      </x:c>
      <x:c r="B596" s="38" t="str">
        <x:f>"0"</x:f>
        <x:v>0</x:v>
      </x:c>
      <x:c r="C596" s="38" t="str">
        <x:v>NILZETI DA SILVA AMORIM</x:v>
      </x:c>
      <x:c r="D596" s="38" t="str">
        <x:f>""</x:f>
      </x:c>
      <x:c r="E596" s="38" t="str">
        <x:f>""</x:f>
      </x:c>
      <x:c r="F596" s="38" t="str"/>
      <x:c r="G596" s="39" t="n">
        <x:v>46086</x:v>
      </x:c>
      <x:c r="H596" s="16" t="str">
        <x:v>03/2026</x:v>
      </x:c>
      <x:c r="I596" s="40" t="n">
        <x:v>808.37</x:v>
      </x:c>
      <x:c r="J596" s="40" t="n">
        <x:v>886.63</x:v>
      </x:c>
      <x:c r="K596" s="16" t="str">
        <x:v>Novo</x:v>
      </x:c>
      <x:c r="L596" s="16" t="str">
        <x:v>Em aberto</x:v>
      </x:c>
      <x:c r="M596" s="16" t="str">
        <x:v>a89921c3-0615-40ff-b323-0f65a2377561</x:v>
      </x:c>
      <x:c r="N596" s="41" t="str"/>
    </x:row>
    <x:row r="597">
      <x:c r="A597" s="37" t="str">
        <x:f>"000906"</x:f>
        <x:v>000906</x:v>
      </x:c>
      <x:c r="B597" s="38" t="str">
        <x:f>"0"</x:f>
        <x:v>0</x:v>
      </x:c>
      <x:c r="C597" s="38" t="str">
        <x:v>NILZETI DA SILVA AMORIM</x:v>
      </x:c>
      <x:c r="D597" s="38" t="str">
        <x:f>""</x:f>
      </x:c>
      <x:c r="E597" s="38" t="str">
        <x:f>""</x:f>
      </x:c>
      <x:c r="F597" s="38" t="str"/>
      <x:c r="G597" s="39" t="n">
        <x:v>46117</x:v>
      </x:c>
      <x:c r="H597" s="16" t="str">
        <x:v>04/2026</x:v>
      </x:c>
      <x:c r="I597" s="40" t="n">
        <x:v>511.48</x:v>
      </x:c>
      <x:c r="J597" s="40" t="n">
        <x:v>552.77</x:v>
      </x:c>
      <x:c r="K597" s="16" t="str">
        <x:v>Novo</x:v>
      </x:c>
      <x:c r="L597" s="16" t="str">
        <x:v>Em aberto</x:v>
      </x:c>
      <x:c r="M597" s="16" t="str">
        <x:v>1db05983-314e-461c-b0ba-7fea3b519833</x:v>
      </x:c>
      <x:c r="N597" s="41" t="str"/>
    </x:row>
    <x:row r="598">
      <x:c r="A598" s="37" t="str">
        <x:f>"000906"</x:f>
        <x:v>000906</x:v>
      </x:c>
      <x:c r="B598" s="38" t="str">
        <x:f>"0"</x:f>
        <x:v>0</x:v>
      </x:c>
      <x:c r="C598" s="38" t="str">
        <x:v>NILZETI DA SILVA AMORIM</x:v>
      </x:c>
      <x:c r="D598" s="38" t="str">
        <x:f>""</x:f>
      </x:c>
      <x:c r="E598" s="38" t="str">
        <x:f>""</x:f>
      </x:c>
      <x:c r="F598" s="38" t="str"/>
      <x:c r="G598" s="39" t="n">
        <x:v>46147</x:v>
      </x:c>
      <x:c r="H598" s="16" t="str">
        <x:v>05/2026</x:v>
      </x:c>
      <x:c r="I598" s="40" t="n">
        <x:v>507.15</x:v>
      </x:c>
      <x:c r="J598" s="40" t="n">
        <x:v>532.8</x:v>
      </x:c>
      <x:c r="K598" s="16" t="str">
        <x:v>Novo</x:v>
      </x:c>
      <x:c r="L598" s="16" t="str">
        <x:v>Em aberto</x:v>
      </x:c>
      <x:c r="M598" s="16" t="str">
        <x:v>2f27c377-dc93-4a31-a314-1e2616f56785</x:v>
      </x:c>
      <x:c r="N598" s="41" t="str"/>
    </x:row>
    <x:row r="599">
      <x:c r="A599" s="37" t="str">
        <x:f>"000906"</x:f>
        <x:v>000906</x:v>
      </x:c>
      <x:c r="B599" s="38" t="str">
        <x:f>"0"</x:f>
        <x:v>0</x:v>
      </x:c>
      <x:c r="C599" s="38" t="str">
        <x:v>NILZETI DA SILVA AMORIM</x:v>
      </x:c>
      <x:c r="D599" s="38" t="str">
        <x:f>""</x:f>
      </x:c>
      <x:c r="E599" s="38" t="str">
        <x:f>""</x:f>
      </x:c>
      <x:c r="F599" s="38" t="str"/>
      <x:c r="G599" s="39" t="n">
        <x:v>46178</x:v>
      </x:c>
      <x:c r="H599" s="16" t="str">
        <x:v>06/2026</x:v>
      </x:c>
      <x:c r="I599" s="40" t="n">
        <x:v>555.54</x:v>
      </x:c>
      <x:c r="J599" s="40" t="n">
        <x:v>577.98</x:v>
      </x:c>
      <x:c r="K599" s="16" t="str">
        <x:v>Novo</x:v>
      </x:c>
      <x:c r="L599" s="16" t="str">
        <x:v>Em aberto</x:v>
      </x:c>
      <x:c r="M599" s="16" t="str">
        <x:v>dfc0c88e-d180-461d-b2f1-8545b39cc3b8</x:v>
      </x:c>
      <x:c r="N599" s="41" t="str"/>
    </x:row>
    <x:row r="600">
      <x:c r="A600" s="37" t="str">
        <x:f>"000913"</x:f>
        <x:v>000913</x:v>
      </x:c>
      <x:c r="B600" s="38" t="str">
        <x:f>"0"</x:f>
        <x:v>0</x:v>
      </x:c>
      <x:c r="C600" s="38" t="str">
        <x:v>RAQUEL MARECHAL</x:v>
      </x:c>
      <x:c r="D600" s="38" t="str">
        <x:f>""</x:f>
      </x:c>
      <x:c r="E600" s="38" t="str">
        <x:f>""</x:f>
      </x:c>
      <x:c r="F600" s="38" t="str"/>
      <x:c r="G600" s="39" t="n">
        <x:v>46117</x:v>
      </x:c>
      <x:c r="H600" s="16" t="str">
        <x:v>04/2026</x:v>
      </x:c>
      <x:c r="I600" s="40" t="n">
        <x:v>511.48</x:v>
      </x:c>
      <x:c r="J600" s="40" t="n">
        <x:v>552.77</x:v>
      </x:c>
      <x:c r="K600" s="16" t="str">
        <x:v>Novo</x:v>
      </x:c>
      <x:c r="L600" s="16" t="str">
        <x:v>Em aberto</x:v>
      </x:c>
      <x:c r="M600" s="16" t="str">
        <x:v>cdedf153-34ee-4b4b-a4ef-ce1ef90a3771</x:v>
      </x:c>
      <x:c r="N600" s="41" t="str"/>
    </x:row>
    <x:row r="601">
      <x:c r="A601" s="37" t="str">
        <x:f>"000913"</x:f>
        <x:v>000913</x:v>
      </x:c>
      <x:c r="B601" s="38" t="str">
        <x:f>"0"</x:f>
        <x:v>0</x:v>
      </x:c>
      <x:c r="C601" s="38" t="str">
        <x:v>RAQUEL MARECHAL</x:v>
      </x:c>
      <x:c r="D601" s="38" t="str">
        <x:f>""</x:f>
      </x:c>
      <x:c r="E601" s="38" t="str">
        <x:f>""</x:f>
      </x:c>
      <x:c r="F601" s="38" t="str"/>
      <x:c r="G601" s="39" t="n">
        <x:v>46147</x:v>
      </x:c>
      <x:c r="H601" s="16" t="str">
        <x:v>05/2026</x:v>
      </x:c>
      <x:c r="I601" s="40" t="n">
        <x:v>507.15</x:v>
      </x:c>
      <x:c r="J601" s="40" t="n">
        <x:v>532.8</x:v>
      </x:c>
      <x:c r="K601" s="16" t="str">
        <x:v>Novo</x:v>
      </x:c>
      <x:c r="L601" s="16" t="str">
        <x:v>Em aberto</x:v>
      </x:c>
      <x:c r="M601" s="16" t="str">
        <x:v>fc71b773-0c75-4597-8f9d-2964cb164111</x:v>
      </x:c>
      <x:c r="N601" s="41" t="str"/>
    </x:row>
    <x:row r="602">
      <x:c r="A602" s="37" t="str">
        <x:f>"001109"</x:f>
        <x:v>001109</x:v>
      </x:c>
      <x:c r="B602" s="38" t="str">
        <x:f>"0"</x:f>
        <x:v>0</x:v>
      </x:c>
      <x:c r="C602" s="38" t="str">
        <x:v>PAULA DE LIMA ABI SABER</x:v>
      </x:c>
      <x:c r="D602" s="38" t="str">
        <x:f>""</x:f>
      </x:c>
      <x:c r="E602" s="38" t="str">
        <x:f>""</x:f>
      </x:c>
      <x:c r="F602" s="38" t="str"/>
      <x:c r="G602" s="39" t="n">
        <x:v>46027</x:v>
      </x:c>
      <x:c r="H602" s="16" t="str">
        <x:v>01/2026</x:v>
      </x:c>
      <x:c r="I602" s="40" t="n">
        <x:v>538.7</x:v>
      </x:c>
      <x:c r="J602" s="40" t="n">
        <x:v>600.14</x:v>
      </x:c>
      <x:c r="K602" s="16" t="str">
        <x:v>Novo</x:v>
      </x:c>
      <x:c r="L602" s="16" t="str">
        <x:v>Em aberto</x:v>
      </x:c>
      <x:c r="M602" s="16" t="str">
        <x:v>2f2d1576-11c7-45a9-8c3d-2d567eff3a8f</x:v>
      </x:c>
      <x:c r="N602" s="41" t="str"/>
    </x:row>
    <x:row r="603">
      <x:c r="A603" s="37" t="str">
        <x:f>"001109"</x:f>
        <x:v>001109</x:v>
      </x:c>
      <x:c r="B603" s="38" t="str">
        <x:f>"0"</x:f>
        <x:v>0</x:v>
      </x:c>
      <x:c r="C603" s="38" t="str">
        <x:v>PAULA DE LIMA ABI SABER</x:v>
      </x:c>
      <x:c r="D603" s="38" t="str">
        <x:f>""</x:f>
      </x:c>
      <x:c r="E603" s="38" t="str">
        <x:f>""</x:f>
      </x:c>
      <x:c r="F603" s="38" t="str"/>
      <x:c r="G603" s="39" t="n">
        <x:v>46058</x:v>
      </x:c>
      <x:c r="H603" s="16" t="str">
        <x:v>02/2026</x:v>
      </x:c>
      <x:c r="I603" s="40" t="n">
        <x:v>515.36</x:v>
      </x:c>
      <x:c r="J603" s="40" t="n">
        <x:v>566.48</x:v>
      </x:c>
      <x:c r="K603" s="16" t="str">
        <x:v>Novo</x:v>
      </x:c>
      <x:c r="L603" s="16" t="str">
        <x:v>Em aberto</x:v>
      </x:c>
      <x:c r="M603" s="16" t="str">
        <x:v>3c56090d-6746-48dc-b3b4-726329e86d5d</x:v>
      </x:c>
      <x:c r="N603" s="41" t="str"/>
    </x:row>
    <x:row r="604">
      <x:c r="A604" s="37" t="str">
        <x:f>"001109"</x:f>
        <x:v>001109</x:v>
      </x:c>
      <x:c r="B604" s="38" t="str">
        <x:f>"0"</x:f>
        <x:v>0</x:v>
      </x:c>
      <x:c r="C604" s="38" t="str">
        <x:v>PAULA DE LIMA ABI SABER</x:v>
      </x:c>
      <x:c r="D604" s="38" t="str">
        <x:f>""</x:f>
      </x:c>
      <x:c r="E604" s="38" t="str">
        <x:f>""</x:f>
      </x:c>
      <x:c r="F604" s="38" t="str"/>
      <x:c r="G604" s="39" t="n">
        <x:v>46117</x:v>
      </x:c>
      <x:c r="H604" s="16" t="str">
        <x:v>04/2026</x:v>
      </x:c>
      <x:c r="I604" s="40" t="n">
        <x:v>511.48</x:v>
      </x:c>
      <x:c r="J604" s="40" t="n">
        <x:v>552.77</x:v>
      </x:c>
      <x:c r="K604" s="16" t="str">
        <x:v>Novo</x:v>
      </x:c>
      <x:c r="L604" s="16" t="str">
        <x:v>Em aberto</x:v>
      </x:c>
      <x:c r="M604" s="16" t="str">
        <x:v>aa5f181c-c3d9-4103-9234-22a6ad15eb59</x:v>
      </x:c>
      <x:c r="N604" s="41" t="str"/>
    </x:row>
    <x:row r="605">
      <x:c r="A605" s="37" t="str">
        <x:f>"001414"</x:f>
        <x:v>001414</x:v>
      </x:c>
      <x:c r="B605" s="38" t="str">
        <x:f>"0"</x:f>
        <x:v>0</x:v>
      </x:c>
      <x:c r="C605" s="38" t="str">
        <x:v>FERNANDO ANTUNES CORDEIRO DE ARAUJO</x:v>
      </x:c>
      <x:c r="D605" s="38" t="str">
        <x:f>""</x:f>
      </x:c>
      <x:c r="E605" s="38" t="str">
        <x:f>""</x:f>
      </x:c>
      <x:c r="F605" s="38" t="str"/>
      <x:c r="G605" s="39" t="n">
        <x:v>46178</x:v>
      </x:c>
      <x:c r="H605" s="16" t="str">
        <x:v>06/2026</x:v>
      </x:c>
      <x:c r="I605" s="40" t="n">
        <x:v>593.49</x:v>
      </x:c>
      <x:c r="J605" s="40" t="n">
        <x:v>617.46</x:v>
      </x:c>
      <x:c r="K605" s="16" t="str">
        <x:v>Novo</x:v>
      </x:c>
      <x:c r="L605" s="16" t="str">
        <x:v>Em aberto</x:v>
      </x:c>
      <x:c r="M605" s="16" t="str">
        <x:v>f5e686cf-307b-49a8-8b18-5f599f7576be</x:v>
      </x:c>
      <x:c r="N605" s="41" t="str"/>
    </x:row>
    <x:row r="606">
      <x:c r="A606" s="37" t="str">
        <x:f>"001604"</x:f>
        <x:v>001604</x:v>
      </x:c>
      <x:c r="B606" s="38" t="str">
        <x:f>"0"</x:f>
        <x:v>0</x:v>
      </x:c>
      <x:c r="C606" s="38" t="str">
        <x:v>KATIA NOVAES NUNES DA SILVA</x:v>
      </x:c>
      <x:c r="D606" s="38" t="str">
        <x:f>""</x:f>
      </x:c>
      <x:c r="E606" s="38" t="str">
        <x:f>""</x:f>
      </x:c>
      <x:c r="F606" s="38" t="str"/>
      <x:c r="G606" s="39" t="n">
        <x:v>46027</x:v>
      </x:c>
      <x:c r="H606" s="16" t="str">
        <x:v>01/2026</x:v>
      </x:c>
      <x:c r="I606" s="40" t="n">
        <x:v>290.36</x:v>
      </x:c>
      <x:c r="J606" s="40" t="n">
        <x:v>323.48</x:v>
      </x:c>
      <x:c r="K606" s="16" t="str">
        <x:v>Novo</x:v>
      </x:c>
      <x:c r="L606" s="16" t="str">
        <x:v>Em aberto</x:v>
      </x:c>
      <x:c r="M606" s="16" t="str">
        <x:v>ed863a18-0012-4c37-8dfc-5bebbb8f70c5</x:v>
      </x:c>
      <x:c r="N606" s="41" t="str"/>
    </x:row>
    <x:row r="607">
      <x:c r="A607" s="37" t="str">
        <x:f>"001604"</x:f>
        <x:v>001604</x:v>
      </x:c>
      <x:c r="B607" s="38" t="str">
        <x:f>"0"</x:f>
        <x:v>0</x:v>
      </x:c>
      <x:c r="C607" s="38" t="str">
        <x:v>KATIA NOVAES NUNES DA SILVA</x:v>
      </x:c>
      <x:c r="D607" s="38" t="str">
        <x:f>""</x:f>
      </x:c>
      <x:c r="E607" s="38" t="str">
        <x:f>""</x:f>
      </x:c>
      <x:c r="F607" s="38" t="str"/>
      <x:c r="G607" s="39" t="n">
        <x:v>46058</x:v>
      </x:c>
      <x:c r="H607" s="16" t="str">
        <x:v>02/2026</x:v>
      </x:c>
      <x:c r="I607" s="40" t="n">
        <x:v>701.34</x:v>
      </x:c>
      <x:c r="J607" s="40" t="n">
        <x:v>770.9</x:v>
      </x:c>
      <x:c r="K607" s="16" t="str">
        <x:v>Novo</x:v>
      </x:c>
      <x:c r="L607" s="16" t="str">
        <x:v>Em aberto</x:v>
      </x:c>
      <x:c r="M607" s="16" t="str">
        <x:v>810f2e50-8353-4736-a9f3-9828ab79c1be</x:v>
      </x:c>
      <x:c r="N607" s="41" t="str"/>
    </x:row>
    <x:row r="608">
      <x:c r="A608" s="37" t="str">
        <x:f>"001604"</x:f>
        <x:v>001604</x:v>
      </x:c>
      <x:c r="B608" s="38" t="str">
        <x:f>"0"</x:f>
        <x:v>0</x:v>
      </x:c>
      <x:c r="C608" s="38" t="str">
        <x:v>KATIA NOVAES NUNES DA SILVA</x:v>
      </x:c>
      <x:c r="D608" s="38" t="str">
        <x:f>""</x:f>
      </x:c>
      <x:c r="E608" s="38" t="str">
        <x:f>""</x:f>
      </x:c>
      <x:c r="F608" s="38" t="str"/>
      <x:c r="G608" s="39" t="n">
        <x:v>46086</x:v>
      </x:c>
      <x:c r="H608" s="16" t="str">
        <x:v>03/2026</x:v>
      </x:c>
      <x:c r="I608" s="40" t="n">
        <x:v>684.19</x:v>
      </x:c>
      <x:c r="J608" s="40" t="n">
        <x:v>750.42</x:v>
      </x:c>
      <x:c r="K608" s="16" t="str">
        <x:v>Novo</x:v>
      </x:c>
      <x:c r="L608" s="16" t="str">
        <x:v>Em aberto</x:v>
      </x:c>
      <x:c r="M608" s="16" t="str">
        <x:v>142194e8-7cf9-4754-8fab-62f3c254744f</x:v>
      </x:c>
      <x:c r="N608" s="41" t="str"/>
    </x:row>
    <x:row r="609">
      <x:c r="A609" s="37" t="str">
        <x:f>"002107"</x:f>
        <x:v>002107</x:v>
      </x:c>
      <x:c r="B609" s="38" t="str">
        <x:f>"0"</x:f>
        <x:v>0</x:v>
      </x:c>
      <x:c r="C609" s="38" t="str">
        <x:v>RENATO LUIZ CALADO HOMEM</x:v>
      </x:c>
      <x:c r="D609" s="38" t="str">
        <x:f>""</x:f>
      </x:c>
      <x:c r="E609" s="38" t="str">
        <x:f>""</x:f>
      </x:c>
      <x:c r="F609" s="38" t="str"/>
      <x:c r="G609" s="39" t="n">
        <x:v>46086</x:v>
      </x:c>
      <x:c r="H609" s="16" t="str">
        <x:v>03/2026</x:v>
      </x:c>
      <x:c r="I609" s="40" t="n">
        <x:v>358.94</x:v>
      </x:c>
      <x:c r="J609" s="40" t="n">
        <x:v>393.69</x:v>
      </x:c>
      <x:c r="K609" s="16" t="str">
        <x:v>Novo</x:v>
      </x:c>
      <x:c r="L609" s="16" t="str">
        <x:v>Em aberto</x:v>
      </x:c>
      <x:c r="M609" s="16" t="str">
        <x:v>e8a92386-eeeb-4303-92f2-22022424aca0</x:v>
      </x:c>
      <x:c r="N609" s="41" t="str"/>
    </x:row>
    <x:row r="610">
      <x:c r="A610" s="37" t="str">
        <x:f>"002107"</x:f>
        <x:v>002107</x:v>
      </x:c>
      <x:c r="B610" s="38" t="str">
        <x:f>"0"</x:f>
        <x:v>0</x:v>
      </x:c>
      <x:c r="C610" s="38" t="str">
        <x:v>RENATO LUIZ CALADO HOMEM</x:v>
      </x:c>
      <x:c r="D610" s="38" t="str">
        <x:f>""</x:f>
      </x:c>
      <x:c r="E610" s="38" t="str">
        <x:f>""</x:f>
      </x:c>
      <x:c r="F610" s="38" t="str"/>
      <x:c r="G610" s="39" t="n">
        <x:v>46117</x:v>
      </x:c>
      <x:c r="H610" s="16" t="str">
        <x:v>04/2026</x:v>
      </x:c>
      <x:c r="I610" s="40" t="n">
        <x:v>693.74</x:v>
      </x:c>
      <x:c r="J610" s="40" t="n">
        <x:v>749.75</x:v>
      </x:c>
      <x:c r="K610" s="16" t="str">
        <x:v>Novo</x:v>
      </x:c>
      <x:c r="L610" s="16" t="str">
        <x:v>Em aberto</x:v>
      </x:c>
      <x:c r="M610" s="16" t="str">
        <x:v>a4399f8f-f8ae-4147-bd72-ecc43e7c3c69</x:v>
      </x:c>
      <x:c r="N610" s="41" t="str"/>
    </x:row>
    <x:row r="611">
      <x:c r="A611" s="37" t="str">
        <x:f>"002113"</x:f>
        <x:v>002113</x:v>
      </x:c>
      <x:c r="B611" s="38" t="str">
        <x:f>"0"</x:f>
        <x:v>0</x:v>
      </x:c>
      <x:c r="C611" s="38" t="str">
        <x:v>LIVIA LOURENÇO REIS</x:v>
      </x:c>
      <x:c r="D611" s="38" t="str">
        <x:f>"32606272862"</x:f>
        <x:v>32606272862</x:v>
      </x:c>
      <x:c r="E611" s="38" t="str">
        <x:f>""</x:f>
      </x:c>
      <x:c r="F611" s="38" t="str">
        <x:v>marcio.ribeiro73@hotmail.com</x:v>
      </x:c>
      <x:c r="G611" s="39" t="n">
        <x:v>46178</x:v>
      </x:c>
      <x:c r="H611" s="16" t="str">
        <x:v>06/2026</x:v>
      </x:c>
      <x:c r="I611" s="40" t="n">
        <x:v>756.44</x:v>
      </x:c>
      <x:c r="J611" s="40" t="n">
        <x:v>787.01</x:v>
      </x:c>
      <x:c r="K611" s="16" t="str">
        <x:v>Novo</x:v>
      </x:c>
      <x:c r="L611" s="16" t="str">
        <x:v>Em aberto</x:v>
      </x:c>
      <x:c r="M611" s="16" t="str">
        <x:v>64589f79-0990-4059-9b2e-8d3b5f615f9d</x:v>
      </x:c>
      <x:c r="N611" s="41" t="str"/>
    </x:row>
    <x:row r="612">
      <x:c r="A612" s="42" t="str">
        <x:f>"002212"</x:f>
        <x:v>002212</x:v>
      </x:c>
      <x:c r="B612" s="43" t="str">
        <x:f>"0"</x:f>
        <x:v>0</x:v>
      </x:c>
      <x:c r="C612" s="43" t="str">
        <x:v>IGOR TRAMONTIN DE OLIVEIRA</x:v>
      </x:c>
      <x:c r="D612" s="43" t="str">
        <x:f>""</x:f>
      </x:c>
      <x:c r="E612" s="43" t="str">
        <x:f>""</x:f>
      </x:c>
      <x:c r="F612" s="43" t="str"/>
      <x:c r="G612" s="44" t="n">
        <x:v>46117</x:v>
      </x:c>
      <x:c r="H612" s="20" t="str">
        <x:v>04/2026</x:v>
      </x:c>
      <x:c r="I612" s="45" t="n">
        <x:v>693.74</x:v>
      </x:c>
      <x:c r="J612" s="45" t="n">
        <x:v>749.75</x:v>
      </x:c>
      <x:c r="K612" s="20" t="str">
        <x:v>Novo</x:v>
      </x:c>
      <x:c r="L612" s="20" t="str">
        <x:v>Em aberto</x:v>
      </x:c>
      <x:c r="M612" s="20" t="str">
        <x:v>e6dd107e-6f5f-4ca8-be17-49e37d963ce8</x:v>
      </x:c>
      <x:c r="N612" s="46" t="str"/>
    </x:row>
    <x:row r="613">
      <x:c r="A613" s="47" t="str">
        <x:v>Subtotal</x:v>
      </x:c>
      <x:c r="B613" s="47" t="str"/>
      <x:c r="C613" s="47" t="str"/>
      <x:c r="D613" s="47" t="str"/>
      <x:c r="E613" s="47" t="str"/>
      <x:c r="F613" s="47" t="str"/>
      <x:c r="G613" s="47" t="str"/>
      <x:c r="H613" s="47" t="str"/>
      <x:c r="I613" s="47" t="str"/>
      <x:c r="J613" s="48" t="n">
        <x:v>16734.61</x:v>
      </x:c>
      <x:c r="K613" s="47" t="str">
        <x:v>28 novas</x:v>
      </x:c>
      <x:c r="L613" s="47" t="str">
        <x:v>0 ativas</x:v>
      </x:c>
      <x:c r="M613" s="47" t="str"/>
      <x:c r="N613" s="47" t="str"/>
    </x:row>
    <x:row r="615">
      <x:c r="A615" s="26" t="str">
        <x:v>CONDOMÍNIO CAROLINE MAHAL</x:v>
      </x:c>
      <x:c r="B615" s="26"/>
      <x:c r="C615" s="26"/>
      <x:c r="D615" s="26"/>
      <x:c r="E615" s="26"/>
      <x:c r="F615" s="26"/>
      <x:c r="G615" s="26"/>
      <x:c r="H615" s="26"/>
      <x:c r="I615" s="26"/>
      <x:c r="J615" s="26"/>
      <x:c r="K615" s="26"/>
      <x:c r="L615" s="26"/>
      <x:c r="M615" s="26"/>
      <x:c r="N615" s="26"/>
    </x:row>
    <x:row r="616">
      <x:c r="A616" s="28" t="str">
        <x:v>CNPJ</x:v>
      </x:c>
      <x:c r="B616" s="28" t="str">
        <x:v>05.032.159/0001-01</x:v>
      </x:c>
      <x:c r="C616" s="28"/>
      <x:c r="D616" s="28" t="str">
        <x:v>Dia de vencimento</x:v>
      </x:c>
      <x:c r="E616" s="28" t="n">
        <x:v>2</x:v>
      </x:c>
      <x:c r="F616" s="28" t="str">
        <x:v>Régua</x:v>
      </x:c>
      <x:c r="G616" s="28" t="str">
        <x:v>D+30 · pré-jurídico em D+60</x:v>
      </x:c>
      <x:c r="H616" s="28"/>
      <x:c r="I616" s="28"/>
      <x:c r="J616" s="28"/>
      <x:c r="K616" s="28"/>
      <x:c r="L616" s="28"/>
      <x:c r="M616" s="28"/>
      <x:c r="N616" s="28"/>
    </x:row>
    <x:row r="617">
      <x:c r="A617" s="9" t="str">
        <x:v>Unidade</x:v>
      </x:c>
      <x:c r="B617" s="9" t="str">
        <x:v>Bloco</x:v>
      </x:c>
      <x:c r="C617" s="9" t="str">
        <x:v>Responsável</x:v>
      </x:c>
      <x:c r="D617" s="9" t="str">
        <x:v>Documento</x:v>
      </x:c>
      <x:c r="E617" s="9" t="str">
        <x:v>Telefone</x:v>
      </x:c>
      <x:c r="F617" s="9" t="str">
        <x:v>E-mail</x:v>
      </x:c>
      <x:c r="G617" s="9" t="str">
        <x:v>Vencimento</x:v>
      </x:c>
      <x:c r="H617" s="9" t="str">
        <x:v>Competência</x:v>
      </x:c>
      <x:c r="I617" s="9" t="str">
        <x:v>Valor original</x:v>
      </x:c>
      <x:c r="J617" s="9" t="str">
        <x:v>Valor atualizado</x:v>
      </x:c>
      <x:c r="K617" s="9" t="str">
        <x:v>Status operacional</x:v>
      </x:c>
      <x:c r="L617" s="9" t="str">
        <x:v>Status financeiro</x:v>
      </x:c>
      <x:c r="M617" s="9" t="str">
        <x:v>ID cobrança</x:v>
      </x:c>
      <x:c r="N617" s="9" t="str">
        <x:v>Observação</x:v>
      </x:c>
    </x:row>
    <x:row r="618">
      <x:c r="A618" s="31" t="str">
        <x:f>"000191"</x:f>
        <x:v>000191</x:v>
      </x:c>
      <x:c r="B618" s="32" t="str">
        <x:f>"0"</x:f>
        <x:v>0</x:v>
      </x:c>
      <x:c r="C618" s="32" t="str">
        <x:v>ALEXANDRE MOLLES E SILVA</x:v>
      </x:c>
      <x:c r="D618" s="32" t="str">
        <x:f>""</x:f>
      </x:c>
      <x:c r="E618" s="32" t="str">
        <x:f>""</x:f>
      </x:c>
      <x:c r="F618" s="32" t="str"/>
      <x:c r="G618" s="33" t="n">
        <x:v>46205</x:v>
      </x:c>
      <x:c r="H618" s="34" t="str">
        <x:v>07/2026</x:v>
      </x:c>
      <x:c r="I618" s="35" t="n">
        <x:v>6801.16</x:v>
      </x:c>
      <x:c r="J618" s="35" t="n">
        <x:v>7006.56</x:v>
      </x:c>
      <x:c r="K618" s="34" t="str">
        <x:v>Novo</x:v>
      </x:c>
      <x:c r="L618" s="34" t="str">
        <x:v>Em aberto</x:v>
      </x:c>
      <x:c r="M618" s="34" t="str">
        <x:v>3caf7b92-b08b-41d0-994b-e85cebd5a687</x:v>
      </x:c>
      <x:c r="N618" s="36" t="str"/>
    </x:row>
    <x:row r="619">
      <x:c r="A619" s="37" t="str">
        <x:f>"000231"</x:f>
        <x:v>000231</x:v>
      </x:c>
      <x:c r="B619" s="38" t="str">
        <x:f>"0"</x:f>
        <x:v>0</x:v>
      </x:c>
      <x:c r="C619" s="38" t="str">
        <x:v>FAAL EMPR. - SUELI MOLLES E SILVA</x:v>
      </x:c>
      <x:c r="D619" s="38" t="str">
        <x:f>"19970340930"</x:f>
        <x:v>19970340930</x:v>
      </x:c>
      <x:c r="E619" s="38" t="str">
        <x:f>""</x:f>
      </x:c>
      <x:c r="F619" s="38" t="str">
        <x:v>sms.sms@uol.com.br</x:v>
      </x:c>
      <x:c r="G619" s="39" t="n">
        <x:v>46024</x:v>
      </x:c>
      <x:c r="H619" s="16" t="str">
        <x:v>01/2026</x:v>
      </x:c>
      <x:c r="I619" s="40" t="n">
        <x:v>10658.07</x:v>
      </x:c>
      <x:c r="J619" s="40" t="n">
        <x:v>11873.97</x:v>
      </x:c>
      <x:c r="K619" s="16" t="str">
        <x:v>Novo</x:v>
      </x:c>
      <x:c r="L619" s="16" t="str">
        <x:v>Em aberto</x:v>
      </x:c>
      <x:c r="M619" s="16" t="str">
        <x:v>410d1d4a-d84c-47ba-a849-4fb7d3c5f8da</x:v>
      </x:c>
      <x:c r="N619" s="41" t="str"/>
    </x:row>
    <x:row r="620">
      <x:c r="A620" s="37" t="str">
        <x:f>"000231"</x:f>
        <x:v>000231</x:v>
      </x:c>
      <x:c r="B620" s="38" t="str">
        <x:f>"0"</x:f>
        <x:v>0</x:v>
      </x:c>
      <x:c r="C620" s="38" t="str">
        <x:v>FAAL EMPR. - SUELI MOLLES E SILVA</x:v>
      </x:c>
      <x:c r="D620" s="38" t="str">
        <x:f>"19970340930"</x:f>
        <x:v>19970340930</x:v>
      </x:c>
      <x:c r="E620" s="38" t="str">
        <x:f>""</x:f>
      </x:c>
      <x:c r="F620" s="38" t="str">
        <x:v>sms.sms@uol.com.br</x:v>
      </x:c>
      <x:c r="G620" s="39" t="n">
        <x:v>46055</x:v>
      </x:c>
      <x:c r="H620" s="16" t="str">
        <x:v>02/2026</x:v>
      </x:c>
      <x:c r="I620" s="40" t="n">
        <x:v>10026.5</x:v>
      </x:c>
      <x:c r="J620" s="40" t="n">
        <x:v>11020.77</x:v>
      </x:c>
      <x:c r="K620" s="16" t="str">
        <x:v>Novo</x:v>
      </x:c>
      <x:c r="L620" s="16" t="str">
        <x:v>Em aberto</x:v>
      </x:c>
      <x:c r="M620" s="16" t="str">
        <x:v>334db675-fee9-489e-9185-62c8af902175</x:v>
      </x:c>
      <x:c r="N620" s="41" t="str"/>
    </x:row>
    <x:row r="621">
      <x:c r="A621" s="37" t="str">
        <x:f>"000231"</x:f>
        <x:v>000231</x:v>
      </x:c>
      <x:c r="B621" s="38" t="str">
        <x:f>"0"</x:f>
        <x:v>0</x:v>
      </x:c>
      <x:c r="C621" s="38" t="str">
        <x:v>FAAL EMPR. - SUELI MOLLES E SILVA</x:v>
      </x:c>
      <x:c r="D621" s="38" t="str">
        <x:f>"19970340930"</x:f>
        <x:v>19970340930</x:v>
      </x:c>
      <x:c r="E621" s="38" t="str">
        <x:f>""</x:f>
      </x:c>
      <x:c r="F621" s="38" t="str">
        <x:v>sms.sms@uol.com.br</x:v>
      </x:c>
      <x:c r="G621" s="39" t="n">
        <x:v>46083</x:v>
      </x:c>
      <x:c r="H621" s="16" t="str">
        <x:v>03/2026</x:v>
      </x:c>
      <x:c r="I621" s="40" t="n">
        <x:v>9889.4</x:v>
      </x:c>
      <x:c r="J621" s="40" t="n">
        <x:v>10846.71</x:v>
      </x:c>
      <x:c r="K621" s="16" t="str">
        <x:v>Novo</x:v>
      </x:c>
      <x:c r="L621" s="16" t="str">
        <x:v>Em aberto</x:v>
      </x:c>
      <x:c r="M621" s="16" t="str">
        <x:v>996ef698-ae7e-4a3b-9266-3023bc320220</x:v>
      </x:c>
      <x:c r="N621" s="41" t="str"/>
    </x:row>
    <x:row r="622">
      <x:c r="A622" s="37" t="str">
        <x:f>"000231"</x:f>
        <x:v>000231</x:v>
      </x:c>
      <x:c r="B622" s="38" t="str">
        <x:f>"0"</x:f>
        <x:v>0</x:v>
      </x:c>
      <x:c r="C622" s="38" t="str">
        <x:v>FAAL EMPR. - SUELI MOLLES E SILVA</x:v>
      </x:c>
      <x:c r="D622" s="38" t="str">
        <x:f>"19970340930"</x:f>
        <x:v>19970340930</x:v>
      </x:c>
      <x:c r="E622" s="38" t="str">
        <x:f>""</x:f>
      </x:c>
      <x:c r="F622" s="38" t="str">
        <x:v>sms.sms@uol.com.br</x:v>
      </x:c>
      <x:c r="G622" s="39" t="n">
        <x:v>46114</x:v>
      </x:c>
      <x:c r="H622" s="16" t="str">
        <x:v>04/2026</x:v>
      </x:c>
      <x:c r="I622" s="40" t="n">
        <x:v>10648.02</x:v>
      </x:c>
      <x:c r="J622" s="40" t="n">
        <x:v>11507.69</x:v>
      </x:c>
      <x:c r="K622" s="16" t="str">
        <x:v>Novo</x:v>
      </x:c>
      <x:c r="L622" s="16" t="str">
        <x:v>Em aberto</x:v>
      </x:c>
      <x:c r="M622" s="16" t="str">
        <x:v>8bba50f2-79e4-46da-ab64-4063b65ce1e8</x:v>
      </x:c>
      <x:c r="N622" s="41" t="str"/>
    </x:row>
    <x:row r="623">
      <x:c r="A623" s="37" t="str">
        <x:f>"000231"</x:f>
        <x:v>000231</x:v>
      </x:c>
      <x:c r="B623" s="38" t="str">
        <x:f>"0"</x:f>
        <x:v>0</x:v>
      </x:c>
      <x:c r="C623" s="38" t="str">
        <x:v>FAAL EMPR. - SUELI MOLLES E SILVA</x:v>
      </x:c>
      <x:c r="D623" s="38" t="str">
        <x:f>"19970340930"</x:f>
        <x:v>19970340930</x:v>
      </x:c>
      <x:c r="E623" s="38" t="str">
        <x:f>""</x:f>
      </x:c>
      <x:c r="F623" s="38" t="str">
        <x:v>sms.sms@uol.com.br</x:v>
      </x:c>
      <x:c r="G623" s="39" t="n">
        <x:v>46144</x:v>
      </x:c>
      <x:c r="H623" s="16" t="str">
        <x:v>05/2026</x:v>
      </x:c>
      <x:c r="I623" s="40" t="n">
        <x:v>10230</x:v>
      </x:c>
      <x:c r="J623" s="40" t="n">
        <x:v>10747.63</x:v>
      </x:c>
      <x:c r="K623" s="16" t="str">
        <x:v>Novo</x:v>
      </x:c>
      <x:c r="L623" s="16" t="str">
        <x:v>Em aberto</x:v>
      </x:c>
      <x:c r="M623" s="16" t="str">
        <x:v>832d39cb-ecf6-474e-9bab-ddc4e4bfea10</x:v>
      </x:c>
      <x:c r="N623" s="41" t="str"/>
    </x:row>
    <x:row r="624">
      <x:c r="A624" s="37" t="str">
        <x:f>"000231"</x:f>
        <x:v>000231</x:v>
      </x:c>
      <x:c r="B624" s="38" t="str">
        <x:f>"0"</x:f>
        <x:v>0</x:v>
      </x:c>
      <x:c r="C624" s="38" t="str">
        <x:v>FAAL EMPR. - SUELI MOLLES E SILVA</x:v>
      </x:c>
      <x:c r="D624" s="38" t="str">
        <x:f>"19970340930"</x:f>
        <x:v>19970340930</x:v>
      </x:c>
      <x:c r="E624" s="38" t="str">
        <x:f>""</x:f>
      </x:c>
      <x:c r="F624" s="38" t="str">
        <x:v>sms.sms@uol.com.br</x:v>
      </x:c>
      <x:c r="G624" s="39" t="n">
        <x:v>46175</x:v>
      </x:c>
      <x:c r="H624" s="16" t="str">
        <x:v>06/2026</x:v>
      </x:c>
      <x:c r="I624" s="40" t="n">
        <x:v>10617.29</x:v>
      </x:c>
      <x:c r="J624" s="40" t="n">
        <x:v>11046.23</x:v>
      </x:c>
      <x:c r="K624" s="16" t="str">
        <x:v>Novo</x:v>
      </x:c>
      <x:c r="L624" s="16" t="str">
        <x:v>Em aberto</x:v>
      </x:c>
      <x:c r="M624" s="16" t="str">
        <x:v>b42b6f89-698f-494b-92c9-98ce89a56ac2</x:v>
      </x:c>
      <x:c r="N624" s="41" t="str"/>
    </x:row>
    <x:row r="625">
      <x:c r="A625" s="42" t="str">
        <x:f>"000231"</x:f>
        <x:v>000231</x:v>
      </x:c>
      <x:c r="B625" s="43" t="str">
        <x:f>"0"</x:f>
        <x:v>0</x:v>
      </x:c>
      <x:c r="C625" s="43" t="str">
        <x:v>FAAL EMPR. - SUELI MOLLES E SILVA</x:v>
      </x:c>
      <x:c r="D625" s="43" t="str">
        <x:f>"19970340930"</x:f>
        <x:v>19970340930</x:v>
      </x:c>
      <x:c r="E625" s="43" t="str">
        <x:f>""</x:f>
      </x:c>
      <x:c r="F625" s="43" t="str">
        <x:v>sms.sms@uol.com.br</x:v>
      </x:c>
      <x:c r="G625" s="44" t="n">
        <x:v>46205</x:v>
      </x:c>
      <x:c r="H625" s="20" t="str">
        <x:v>07/2026</x:v>
      </x:c>
      <x:c r="I625" s="45" t="n">
        <x:v>10804.29</x:v>
      </x:c>
      <x:c r="J625" s="45" t="n">
        <x:v>11130.59</x:v>
      </x:c>
      <x:c r="K625" s="20" t="str">
        <x:v>Novo</x:v>
      </x:c>
      <x:c r="L625" s="20" t="str">
        <x:v>Em aberto</x:v>
      </x:c>
      <x:c r="M625" s="20" t="str">
        <x:v>c3af958d-93ca-4b29-b658-a5453d857a9e</x:v>
      </x:c>
      <x:c r="N625" s="46" t="str"/>
    </x:row>
    <x:row r="626">
      <x:c r="A626" s="47" t="str">
        <x:v>Subtotal</x:v>
      </x:c>
      <x:c r="B626" s="47" t="str"/>
      <x:c r="C626" s="47" t="str"/>
      <x:c r="D626" s="47" t="str"/>
      <x:c r="E626" s="47" t="str"/>
      <x:c r="F626" s="47" t="str"/>
      <x:c r="G626" s="47" t="str"/>
      <x:c r="H626" s="47" t="str"/>
      <x:c r="I626" s="47" t="str"/>
      <x:c r="J626" s="48" t="n">
        <x:v>85180.15</x:v>
      </x:c>
      <x:c r="K626" s="47" t="str">
        <x:v>8 novas</x:v>
      </x:c>
      <x:c r="L626" s="47" t="str">
        <x:v>0 ativas</x:v>
      </x:c>
      <x:c r="M626" s="47" t="str"/>
      <x:c r="N626" s="47" t="str"/>
    </x:row>
    <x:row r="628">
      <x:c r="A628" s="26" t="str">
        <x:v>CONDOMÍNIO EDIFÍCIO CACIQUE</x:v>
      </x:c>
      <x:c r="B628" s="26"/>
      <x:c r="C628" s="26"/>
      <x:c r="D628" s="26"/>
      <x:c r="E628" s="26"/>
      <x:c r="F628" s="26"/>
      <x:c r="G628" s="26"/>
      <x:c r="H628" s="26"/>
      <x:c r="I628" s="26"/>
      <x:c r="J628" s="26"/>
      <x:c r="K628" s="26"/>
      <x:c r="L628" s="26"/>
      <x:c r="M628" s="26"/>
      <x:c r="N628" s="26"/>
    </x:row>
    <x:row r="629">
      <x:c r="A629" s="28" t="str">
        <x:v>CNPJ</x:v>
      </x:c>
      <x:c r="B629" s="28" t="str">
        <x:v>55.234.678/0001-20</x:v>
      </x:c>
      <x:c r="C629" s="28"/>
      <x:c r="D629" s="28" t="str">
        <x:v>Dia de vencimento</x:v>
      </x:c>
      <x:c r="E629" s="28" t="n">
        <x:v>1</x:v>
      </x:c>
      <x:c r="F629" s="28" t="str">
        <x:v>Régua</x:v>
      </x:c>
      <x:c r="G629" s="28" t="str">
        <x:v>D+30 · pré-jurídico em D+60</x:v>
      </x:c>
      <x:c r="H629" s="28"/>
      <x:c r="I629" s="28"/>
      <x:c r="J629" s="28"/>
      <x:c r="K629" s="28"/>
      <x:c r="L629" s="28"/>
      <x:c r="M629" s="28"/>
      <x:c r="N629" s="28"/>
    </x:row>
    <x:row r="630">
      <x:c r="A630" s="9" t="str">
        <x:v>Unidade</x:v>
      </x:c>
      <x:c r="B630" s="9" t="str">
        <x:v>Bloco</x:v>
      </x:c>
      <x:c r="C630" s="9" t="str">
        <x:v>Responsável</x:v>
      </x:c>
      <x:c r="D630" s="9" t="str">
        <x:v>Documento</x:v>
      </x:c>
      <x:c r="E630" s="9" t="str">
        <x:v>Telefone</x:v>
      </x:c>
      <x:c r="F630" s="9" t="str">
        <x:v>E-mail</x:v>
      </x:c>
      <x:c r="G630" s="9" t="str">
        <x:v>Vencimento</x:v>
      </x:c>
      <x:c r="H630" s="9" t="str">
        <x:v>Competência</x:v>
      </x:c>
      <x:c r="I630" s="9" t="str">
        <x:v>Valor original</x:v>
      </x:c>
      <x:c r="J630" s="9" t="str">
        <x:v>Valor atualizado</x:v>
      </x:c>
      <x:c r="K630" s="9" t="str">
        <x:v>Status operacional</x:v>
      </x:c>
      <x:c r="L630" s="9" t="str">
        <x:v>Status financeiro</x:v>
      </x:c>
      <x:c r="M630" s="9" t="str">
        <x:v>ID cobrança</x:v>
      </x:c>
      <x:c r="N630" s="9" t="str">
        <x:v>Observação</x:v>
      </x:c>
    </x:row>
    <x:row r="631">
      <x:c r="A631" s="31" t="str">
        <x:f>"000012"</x:f>
        <x:v>000012</x:v>
      </x:c>
      <x:c r="B631" s="32" t="str">
        <x:f>"0"</x:f>
        <x:v>0</x:v>
      </x:c>
      <x:c r="C631" s="32" t="str">
        <x:v>EUGENIO CARLOS BARBOZA</x:v>
      </x:c>
      <x:c r="D631" s="32" t="str">
        <x:f>"23711728987"</x:f>
        <x:v>23711728987</x:v>
      </x:c>
      <x:c r="E631" s="32" t="str">
        <x:f>"31684495"</x:f>
        <x:v>31684495</x:v>
      </x:c>
      <x:c r="F631" s="32" t="str">
        <x:v>andrewfgb_00@hotmail.com</x:v>
      </x:c>
      <x:c r="G631" s="33" t="n">
        <x:v>46023</x:v>
      </x:c>
      <x:c r="H631" s="34" t="str">
        <x:v>01/2026</x:v>
      </x:c>
      <x:c r="I631" s="35" t="n">
        <x:v>2124.79</x:v>
      </x:c>
      <x:c r="J631" s="35" t="n">
        <x:v>2400.35</x:v>
      </x:c>
      <x:c r="K631" s="34" t="str">
        <x:v>Em cobrança ativa</x:v>
      </x:c>
      <x:c r="L631" s="34" t="str">
        <x:v>Em aberto</x:v>
      </x:c>
      <x:c r="M631" s="34" t="str">
        <x:v>032747aa-e7d4-4db1-bcec-f26f8b398020</x:v>
      </x:c>
      <x:c r="N631" s="36" t="str"/>
    </x:row>
    <x:row r="632">
      <x:c r="A632" s="37" t="str">
        <x:f>"000012"</x:f>
        <x:v>000012</x:v>
      </x:c>
      <x:c r="B632" s="38" t="str">
        <x:f>"0"</x:f>
        <x:v>0</x:v>
      </x:c>
      <x:c r="C632" s="38" t="str">
        <x:v>EUGENIO CARLOS BARBOZA</x:v>
      </x:c>
      <x:c r="D632" s="38" t="str">
        <x:f>"23711728987"</x:f>
        <x:v>23711728987</x:v>
      </x:c>
      <x:c r="E632" s="38" t="str">
        <x:f>"31684495"</x:f>
        <x:v>31684495</x:v>
      </x:c>
      <x:c r="F632" s="38" t="str">
        <x:v>andrewfgb_00@hotmail.com</x:v>
      </x:c>
      <x:c r="G632" s="39" t="n">
        <x:v>46171</x:v>
      </x:c>
      <x:c r="H632" s="16" t="str">
        <x:v>05/2026</x:v>
      </x:c>
      <x:c r="I632" s="40" t="n">
        <x:v>3239.9</x:v>
      </x:c>
      <x:c r="J632" s="40" t="n">
        <x:v>3430.76</x:v>
      </x:c>
      <x:c r="K632" s="16" t="str">
        <x:v>Novo</x:v>
      </x:c>
      <x:c r="L632" s="16" t="str">
        <x:v>Em aberto</x:v>
      </x:c>
      <x:c r="M632" s="16" t="str">
        <x:v>3fa74229-59ee-4974-b7ee-9e578f97c5a6</x:v>
      </x:c>
      <x:c r="N632" s="41" t="str"/>
    </x:row>
    <x:row r="633">
      <x:c r="A633" s="37" t="str">
        <x:f>"000016"</x:f>
        <x:v>000016</x:v>
      </x:c>
      <x:c r="B633" s="38" t="str">
        <x:f>"VG"</x:f>
        <x:v>VG</x:v>
      </x:c>
      <x:c r="C633" s="38" t="str">
        <x:v>JANE MARLY FRANCALOSSI</x:v>
      </x:c>
      <x:c r="D633" s="38" t="str">
        <x:f>""</x:f>
      </x:c>
      <x:c r="E633" s="38" t="str">
        <x:f>""</x:f>
      </x:c>
      <x:c r="F633" s="38" t="str"/>
      <x:c r="G633" s="39" t="n">
        <x:v>46204</x:v>
      </x:c>
      <x:c r="H633" s="16" t="str">
        <x:v>07/2026</x:v>
      </x:c>
      <x:c r="I633" s="40" t="n">
        <x:v>35.82</x:v>
      </x:c>
      <x:c r="J633" s="40" t="n">
        <x:v>36.91</x:v>
      </x:c>
      <x:c r="K633" s="16" t="str">
        <x:v>Novo</x:v>
      </x:c>
      <x:c r="L633" s="16" t="str">
        <x:v>Em aberto</x:v>
      </x:c>
      <x:c r="M633" s="16" t="str">
        <x:v>96eddf26-4e33-4ada-8326-4595a74ec92d</x:v>
      </x:c>
      <x:c r="N633" s="41" t="str"/>
    </x:row>
    <x:row r="634">
      <x:c r="A634" s="37" t="str">
        <x:f>"000033"</x:f>
        <x:v>000033</x:v>
      </x:c>
      <x:c r="B634" s="38" t="str">
        <x:f>"0"</x:f>
        <x:v>0</x:v>
      </x:c>
      <x:c r="C634" s="38" t="str">
        <x:v>MYRIAM HABER</x:v>
      </x:c>
      <x:c r="D634" s="38" t="str">
        <x:f>""</x:f>
      </x:c>
      <x:c r="E634" s="38" t="str">
        <x:f>""</x:f>
      </x:c>
      <x:c r="F634" s="38" t="str"/>
      <x:c r="G634" s="39" t="n">
        <x:v>46204</x:v>
      </x:c>
      <x:c r="H634" s="16" t="str">
        <x:v>07/2026</x:v>
      </x:c>
      <x:c r="I634" s="40" t="n">
        <x:v>2221.12</x:v>
      </x:c>
      <x:c r="J634" s="40" t="n">
        <x:v>2288.19</x:v>
      </x:c>
      <x:c r="K634" s="16" t="str">
        <x:v>Novo</x:v>
      </x:c>
      <x:c r="L634" s="16" t="str">
        <x:v>Em aberto</x:v>
      </x:c>
      <x:c r="M634" s="16" t="str">
        <x:v>6a243a27-d715-46ac-b9d9-a427de2d1d19</x:v>
      </x:c>
      <x:c r="N634" s="41" t="str"/>
    </x:row>
    <x:row r="635">
      <x:c r="A635" s="37" t="str">
        <x:f>"000052"</x:f>
        <x:v>000052</x:v>
      </x:c>
      <x:c r="B635" s="38" t="str">
        <x:f>"0"</x:f>
        <x:v>0</x:v>
      </x:c>
      <x:c r="C635" s="38" t="str">
        <x:v>NILZA DE ALMEIDA A AVILA</x:v>
      </x:c>
      <x:c r="D635" s="38" t="str">
        <x:f>"13650062801"</x:f>
        <x:v>13650062801</x:v>
      </x:c>
      <x:c r="E635" s="38" t="str">
        <x:f>"32879235"</x:f>
        <x:v>32879235</x:v>
      </x:c>
      <x:c r="F635" s="38" t="str">
        <x:v>bebel_pinhao@hotmail.com</x:v>
      </x:c>
      <x:c r="G635" s="39" t="n">
        <x:v>46113</x:v>
      </x:c>
      <x:c r="H635" s="16" t="str">
        <x:v>04/2026</x:v>
      </x:c>
      <x:c r="I635" s="40" t="n">
        <x:v>2324.98</x:v>
      </x:c>
      <x:c r="J635" s="40" t="n">
        <x:v>2505.98</x:v>
      </x:c>
      <x:c r="K635" s="16" t="str">
        <x:v>Novo</x:v>
      </x:c>
      <x:c r="L635" s="16" t="str">
        <x:v>Em aberto</x:v>
      </x:c>
      <x:c r="M635" s="16" t="str">
        <x:v>cc4eede0-61ef-4cfc-9b19-c479a7e0008b</x:v>
      </x:c>
      <x:c r="N635" s="41" t="str"/>
    </x:row>
    <x:row r="636">
      <x:c r="A636" s="37" t="str">
        <x:f>"000052"</x:f>
        <x:v>000052</x:v>
      </x:c>
      <x:c r="B636" s="38" t="str">
        <x:f>"0"</x:f>
        <x:v>0</x:v>
      </x:c>
      <x:c r="C636" s="38" t="str">
        <x:v>NILZA DE ALMEIDA A AVILA</x:v>
      </x:c>
      <x:c r="D636" s="38" t="str">
        <x:f>"13650062801"</x:f>
        <x:v>13650062801</x:v>
      </x:c>
      <x:c r="E636" s="38" t="str">
        <x:f>"32879235"</x:f>
        <x:v>32879235</x:v>
      </x:c>
      <x:c r="F636" s="38" t="str">
        <x:v>bebel_pinhao@hotmail.com</x:v>
      </x:c>
      <x:c r="G636" s="39" t="n">
        <x:v>46143</x:v>
      </x:c>
      <x:c r="H636" s="16" t="str">
        <x:v>05/2026</x:v>
      </x:c>
      <x:c r="I636" s="40" t="n">
        <x:v>2324.98</x:v>
      </x:c>
      <x:c r="J636" s="40" t="n">
        <x:v>2461.94</x:v>
      </x:c>
      <x:c r="K636" s="16" t="str">
        <x:v>Novo</x:v>
      </x:c>
      <x:c r="L636" s="16" t="str">
        <x:v>Em aberto</x:v>
      </x:c>
      <x:c r="M636" s="16" t="str">
        <x:v>419aae87-9cab-483c-86eb-3062480c216b</x:v>
      </x:c>
      <x:c r="N636" s="41" t="str"/>
    </x:row>
    <x:row r="637">
      <x:c r="A637" s="37" t="str">
        <x:f>"000052"</x:f>
        <x:v>000052</x:v>
      </x:c>
      <x:c r="B637" s="38" t="str">
        <x:f>"0"</x:f>
        <x:v>0</x:v>
      </x:c>
      <x:c r="C637" s="38" t="str">
        <x:v>NILZA DE ALMEIDA A AVILA</x:v>
      </x:c>
      <x:c r="D637" s="38" t="str">
        <x:f>"13650062801"</x:f>
        <x:v>13650062801</x:v>
      </x:c>
      <x:c r="E637" s="38" t="str">
        <x:f>"32879235"</x:f>
        <x:v>32879235</x:v>
      </x:c>
      <x:c r="F637" s="38" t="str">
        <x:v>bebel_pinhao@hotmail.com</x:v>
      </x:c>
      <x:c r="G637" s="39" t="n">
        <x:v>46204</x:v>
      </x:c>
      <x:c r="H637" s="16" t="str">
        <x:v>07/2026</x:v>
      </x:c>
      <x:c r="I637" s="40" t="n">
        <x:v>2324.98</x:v>
      </x:c>
      <x:c r="J637" s="40" t="n">
        <x:v>2395.2</x:v>
      </x:c>
      <x:c r="K637" s="16" t="str">
        <x:v>Novo</x:v>
      </x:c>
      <x:c r="L637" s="16" t="str">
        <x:v>Em aberto</x:v>
      </x:c>
      <x:c r="M637" s="16" t="str">
        <x:v>3314f0b2-52f4-4dd5-979c-1b8875ba4b9f</x:v>
      </x:c>
      <x:c r="N637" s="41" t="str"/>
    </x:row>
    <x:row r="638">
      <x:c r="A638" s="37" t="str">
        <x:f>"000052"</x:f>
        <x:v>000052</x:v>
      </x:c>
      <x:c r="B638" s="38" t="str">
        <x:f>"0"</x:f>
        <x:v>0</x:v>
      </x:c>
      <x:c r="C638" s="38" t="str">
        <x:v>NILZA DE ALMEIDA A AVILA</x:v>
      </x:c>
      <x:c r="D638" s="38" t="str">
        <x:f>"13650062801"</x:f>
        <x:v>13650062801</x:v>
      </x:c>
      <x:c r="E638" s="38" t="str">
        <x:f>"32879235"</x:f>
        <x:v>32879235</x:v>
      </x:c>
      <x:c r="F638" s="38" t="str">
        <x:v>bebel_pinhao@hotmail.com</x:v>
      </x:c>
      <x:c r="G638" s="39" t="n">
        <x:v>46213</x:v>
      </x:c>
      <x:c r="H638" s="16" t="str">
        <x:v>07/2026</x:v>
      </x:c>
      <x:c r="I638" s="40" t="n">
        <x:v>25</x:v>
      </x:c>
      <x:c r="J638" s="40" t="n">
        <x:v>25.76</x:v>
      </x:c>
      <x:c r="K638" s="16" t="str">
        <x:v>Novo</x:v>
      </x:c>
      <x:c r="L638" s="16" t="str">
        <x:v>Em aberto</x:v>
      </x:c>
      <x:c r="M638" s="16" t="str">
        <x:v>b136cd93-26b2-48db-a644-ed4f070ee540</x:v>
      </x:c>
      <x:c r="N638" s="41" t="str"/>
    </x:row>
    <x:row r="639">
      <x:c r="A639" s="37" t="str">
        <x:f>"000061"</x:f>
        <x:v>000061</x:v>
      </x:c>
      <x:c r="B639" s="38" t="str">
        <x:f>"0"</x:f>
        <x:v>0</x:v>
      </x:c>
      <x:c r="C639" s="38" t="str">
        <x:v>CHAN KON WUN YING / CHAN LAP MEN</x:v>
      </x:c>
      <x:c r="D639" s="38" t="str">
        <x:f>"24589541890"</x:f>
        <x:v>24589541890</x:v>
      </x:c>
      <x:c r="E639" s="38" t="str">
        <x:f>"32881396"</x:f>
        <x:v>32881396</x:v>
      </x:c>
      <x:c r="F639" s="38" t="str">
        <x:v>kellychan_br@yahoo.com.br</x:v>
      </x:c>
      <x:c r="G639" s="39" t="n">
        <x:v>46037</x:v>
      </x:c>
      <x:c r="H639" s="16" t="str">
        <x:v>01/2026</x:v>
      </x:c>
      <x:c r="I639" s="40" t="n">
        <x:v>266</x:v>
      </x:c>
      <x:c r="J639" s="40" t="n">
        <x:v>300.49</x:v>
      </x:c>
      <x:c r="K639" s="16" t="str">
        <x:v>Novo</x:v>
      </x:c>
      <x:c r="L639" s="16" t="str">
        <x:v>Em aberto</x:v>
      </x:c>
      <x:c r="M639" s="16" t="str">
        <x:v>b6baa550-331d-4da1-aa95-855397288e8a</x:v>
      </x:c>
      <x:c r="N639" s="41" t="str"/>
    </x:row>
    <x:row r="640">
      <x:c r="A640" s="37" t="str">
        <x:f>"000061"</x:f>
        <x:v>000061</x:v>
      </x:c>
      <x:c r="B640" s="38" t="str">
        <x:f>"0"</x:f>
        <x:v>0</x:v>
      </x:c>
      <x:c r="C640" s="38" t="str">
        <x:v>CHAN KON WUN YING / CHAN LAP MEN</x:v>
      </x:c>
      <x:c r="D640" s="38" t="str">
        <x:f>"24589541890"</x:f>
        <x:v>24589541890</x:v>
      </x:c>
      <x:c r="E640" s="38" t="str">
        <x:f>"32881396"</x:f>
        <x:v>32881396</x:v>
      </x:c>
      <x:c r="F640" s="38" t="str">
        <x:v>kellychan_br@yahoo.com.br</x:v>
      </x:c>
      <x:c r="G640" s="39" t="n">
        <x:v>46069</x:v>
      </x:c>
      <x:c r="H640" s="16" t="str">
        <x:v>02/2026</x:v>
      </x:c>
      <x:c r="I640" s="40" t="n">
        <x:v>266</x:v>
      </x:c>
      <x:c r="J640" s="40" t="n">
        <x:v>296.53</x:v>
      </x:c>
      <x:c r="K640" s="16" t="str">
        <x:v>Novo</x:v>
      </x:c>
      <x:c r="L640" s="16" t="str">
        <x:v>Em aberto</x:v>
      </x:c>
      <x:c r="M640" s="16" t="str">
        <x:v>25e7075d-9166-4349-82a1-36123cd86b72</x:v>
      </x:c>
      <x:c r="N640" s="41" t="str"/>
    </x:row>
    <x:row r="641">
      <x:c r="A641" s="37" t="str">
        <x:f>"000061"</x:f>
        <x:v>000061</x:v>
      </x:c>
      <x:c r="B641" s="38" t="str">
        <x:f>"0"</x:f>
        <x:v>0</x:v>
      </x:c>
      <x:c r="C641" s="38" t="str">
        <x:v>CHAN KON WUN YING / CHAN LAP MEN</x:v>
      </x:c>
      <x:c r="D641" s="38" t="str">
        <x:f>"24589541890"</x:f>
        <x:v>24589541890</x:v>
      </x:c>
      <x:c r="E641" s="38" t="str">
        <x:f>"32881396"</x:f>
        <x:v>32881396</x:v>
      </x:c>
      <x:c r="F641" s="38" t="str">
        <x:v>kellychan_br@yahoo.com.br</x:v>
      </x:c>
      <x:c r="G641" s="39" t="n">
        <x:v>46094</x:v>
      </x:c>
      <x:c r="H641" s="16" t="str">
        <x:v>03/2026</x:v>
      </x:c>
      <x:c r="I641" s="40" t="n">
        <x:v>266</x:v>
      </x:c>
      <x:c r="J641" s="40" t="n">
        <x:v>292.1</x:v>
      </x:c>
      <x:c r="K641" s="16" t="str">
        <x:v>Novo</x:v>
      </x:c>
      <x:c r="L641" s="16" t="str">
        <x:v>Em aberto</x:v>
      </x:c>
      <x:c r="M641" s="16" t="str">
        <x:v>cfdf4923-a354-485d-a586-dd1b6bdf85b8</x:v>
      </x:c>
      <x:c r="N641" s="41" t="str"/>
    </x:row>
    <x:row r="642">
      <x:c r="A642" s="37" t="str">
        <x:f>"000061"</x:f>
        <x:v>000061</x:v>
      </x:c>
      <x:c r="B642" s="38" t="str">
        <x:f>"0"</x:f>
        <x:v>0</x:v>
      </x:c>
      <x:c r="C642" s="38" t="str">
        <x:v>CHAN KON WUN YING / CHAN LAP MEN</x:v>
      </x:c>
      <x:c r="D642" s="38" t="str">
        <x:f>"24589541890"</x:f>
        <x:v>24589541890</x:v>
      </x:c>
      <x:c r="E642" s="38" t="str">
        <x:f>"32881396"</x:f>
        <x:v>32881396</x:v>
      </x:c>
      <x:c r="F642" s="38" t="str">
        <x:v>kellychan_br@yahoo.com.br</x:v>
      </x:c>
      <x:c r="G642" s="39" t="n">
        <x:v>46125</x:v>
      </x:c>
      <x:c r="H642" s="16" t="str">
        <x:v>04/2026</x:v>
      </x:c>
      <x:c r="I642" s="40" t="n">
        <x:v>266</x:v>
      </x:c>
      <x:c r="J642" s="40" t="n">
        <x:v>286.71</x:v>
      </x:c>
      <x:c r="K642" s="16" t="str">
        <x:v>Novo</x:v>
      </x:c>
      <x:c r="L642" s="16" t="str">
        <x:v>Em aberto</x:v>
      </x:c>
      <x:c r="M642" s="16" t="str">
        <x:v>07a7d930-e3bb-465a-b2c9-734f571a93d1</x:v>
      </x:c>
      <x:c r="N642" s="41" t="str"/>
    </x:row>
    <x:row r="643">
      <x:c r="A643" s="37" t="str">
        <x:f>"000061"</x:f>
        <x:v>000061</x:v>
      </x:c>
      <x:c r="B643" s="38" t="str">
        <x:f>"0"</x:f>
        <x:v>0</x:v>
      </x:c>
      <x:c r="C643" s="38" t="str">
        <x:v>CHAN KON WUN YING / CHAN LAP MEN</x:v>
      </x:c>
      <x:c r="D643" s="38" t="str">
        <x:f>"24589541890"</x:f>
        <x:v>24589541890</x:v>
      </x:c>
      <x:c r="E643" s="38" t="str">
        <x:f>"32881396"</x:f>
        <x:v>32881396</x:v>
      </x:c>
      <x:c r="F643" s="38" t="str">
        <x:v>kellychan_br@yahoo.com.br</x:v>
      </x:c>
      <x:c r="G643" s="39" t="n">
        <x:v>46157</x:v>
      </x:c>
      <x:c r="H643" s="16" t="str">
        <x:v>05/2026</x:v>
      </x:c>
      <x:c r="I643" s="40" t="n">
        <x:v>266</x:v>
      </x:c>
      <x:c r="J643" s="40" t="n">
        <x:v>281.67</x:v>
      </x:c>
      <x:c r="K643" s="16" t="str">
        <x:v>Novo</x:v>
      </x:c>
      <x:c r="L643" s="16" t="str">
        <x:v>Em aberto</x:v>
      </x:c>
      <x:c r="M643" s="16" t="str">
        <x:v>5d66b542-656c-477c-8527-b823c2198892</x:v>
      </x:c>
      <x:c r="N643" s="41" t="str"/>
    </x:row>
    <x:row r="644">
      <x:c r="A644" s="37" t="str">
        <x:f>"000061"</x:f>
        <x:v>000061</x:v>
      </x:c>
      <x:c r="B644" s="38" t="str">
        <x:f>"0"</x:f>
        <x:v>0</x:v>
      </x:c>
      <x:c r="C644" s="38" t="str">
        <x:v>CHAN KON WUN YING / CHAN LAP MEN</x:v>
      </x:c>
      <x:c r="D644" s="38" t="str">
        <x:f>"24589541890"</x:f>
        <x:v>24589541890</x:v>
      </x:c>
      <x:c r="E644" s="38" t="str">
        <x:f>"32881396"</x:f>
        <x:v>32881396</x:v>
      </x:c>
      <x:c r="F644" s="38" t="str">
        <x:v>kellychan_br@yahoo.com.br</x:v>
      </x:c>
      <x:c r="G644" s="39" t="n">
        <x:v>46188</x:v>
      </x:c>
      <x:c r="H644" s="16" t="str">
        <x:v>06/2026</x:v>
      </x:c>
      <x:c r="I644" s="40" t="n">
        <x:v>266</x:v>
      </x:c>
      <x:c r="J644" s="40" t="n">
        <x:v>277.14</x:v>
      </x:c>
      <x:c r="K644" s="16" t="str">
        <x:v>Novo</x:v>
      </x:c>
      <x:c r="L644" s="16" t="str">
        <x:v>Em aberto</x:v>
      </x:c>
      <x:c r="M644" s="16" t="str">
        <x:v>2df40bec-0934-47ec-8b57-bba5dfe6121c</x:v>
      </x:c>
      <x:c r="N644" s="41" t="str"/>
    </x:row>
    <x:row r="645">
      <x:c r="A645" s="37" t="str">
        <x:f>"000061"</x:f>
        <x:v>000061</x:v>
      </x:c>
      <x:c r="B645" s="38" t="str">
        <x:f>"0"</x:f>
        <x:v>0</x:v>
      </x:c>
      <x:c r="C645" s="38" t="str">
        <x:v>CHAN KON WUN YING / CHAN LAP MEN</x:v>
      </x:c>
      <x:c r="D645" s="38" t="str">
        <x:f>"24589541890"</x:f>
        <x:v>24589541890</x:v>
      </x:c>
      <x:c r="E645" s="38" t="str">
        <x:f>"32881396"</x:f>
        <x:v>32881396</x:v>
      </x:c>
      <x:c r="F645" s="38" t="str">
        <x:v>kellychan_br@yahoo.com.br</x:v>
      </x:c>
      <x:c r="G645" s="39" t="n">
        <x:v>46213</x:v>
      </x:c>
      <x:c r="H645" s="16" t="str">
        <x:v>07/2026</x:v>
      </x:c>
      <x:c r="I645" s="40" t="n">
        <x:v>266</x:v>
      </x:c>
      <x:c r="J645" s="40" t="n">
        <x:v>274.03</x:v>
      </x:c>
      <x:c r="K645" s="16" t="str">
        <x:v>Novo</x:v>
      </x:c>
      <x:c r="L645" s="16" t="str">
        <x:v>Em aberto</x:v>
      </x:c>
      <x:c r="M645" s="16" t="str">
        <x:v>a7f077ca-a6af-4411-8a6c-e2e50ccffa1f</x:v>
      </x:c>
      <x:c r="N645" s="41" t="str"/>
    </x:row>
    <x:row r="646">
      <x:c r="A646" s="37" t="str">
        <x:f>"000071"</x:f>
        <x:v>000071</x:v>
      </x:c>
      <x:c r="B646" s="38" t="str">
        <x:f>"0"</x:f>
        <x:v>0</x:v>
      </x:c>
      <x:c r="C646" s="38" t="str">
        <x:v>SILVIA LOPES VARELA FERNANDES SUMI</x:v>
      </x:c>
      <x:c r="D646" s="38" t="str">
        <x:f>"79105718872"</x:f>
        <x:v>79105718872</x:v>
      </x:c>
      <x:c r="E646" s="38" t="str">
        <x:f>"32874712"</x:f>
        <x:v>32874712</x:v>
      </x:c>
      <x:c r="F646" s="38" t="str">
        <x:v>silviasumi@terra.com.br</x:v>
      </x:c>
      <x:c r="G646" s="39" t="n">
        <x:v>46037</x:v>
      </x:c>
      <x:c r="H646" s="16" t="str">
        <x:v>01/2026</x:v>
      </x:c>
      <x:c r="I646" s="40" t="n">
        <x:v>266</x:v>
      </x:c>
      <x:c r="J646" s="40" t="n">
        <x:v>300.49</x:v>
      </x:c>
      <x:c r="K646" s="16" t="str">
        <x:v>Novo</x:v>
      </x:c>
      <x:c r="L646" s="16" t="str">
        <x:v>Em aberto</x:v>
      </x:c>
      <x:c r="M646" s="16" t="str">
        <x:v>bd8b3e37-c055-4bb8-b7c6-6c73389ad90c</x:v>
      </x:c>
      <x:c r="N646" s="41" t="str"/>
    </x:row>
    <x:row r="647">
      <x:c r="A647" s="37" t="str">
        <x:f>"000071"</x:f>
        <x:v>000071</x:v>
      </x:c>
      <x:c r="B647" s="38" t="str">
        <x:f>"0"</x:f>
        <x:v>0</x:v>
      </x:c>
      <x:c r="C647" s="38" t="str">
        <x:v>SILVIA LOPES VARELA FERNANDES SUMI</x:v>
      </x:c>
      <x:c r="D647" s="38" t="str">
        <x:f>"79105718872"</x:f>
        <x:v>79105718872</x:v>
      </x:c>
      <x:c r="E647" s="38" t="str">
        <x:f>"32874712"</x:f>
        <x:v>32874712</x:v>
      </x:c>
      <x:c r="F647" s="38" t="str">
        <x:v>silviasumi@terra.com.br</x:v>
      </x:c>
      <x:c r="G647" s="39" t="n">
        <x:v>46069</x:v>
      </x:c>
      <x:c r="H647" s="16" t="str">
        <x:v>02/2026</x:v>
      </x:c>
      <x:c r="I647" s="40" t="n">
        <x:v>266</x:v>
      </x:c>
      <x:c r="J647" s="40" t="n">
        <x:v>296.53</x:v>
      </x:c>
      <x:c r="K647" s="16" t="str">
        <x:v>Novo</x:v>
      </x:c>
      <x:c r="L647" s="16" t="str">
        <x:v>Em aberto</x:v>
      </x:c>
      <x:c r="M647" s="16" t="str">
        <x:v>ad5f728e-3d46-4326-920c-90b6440879ab</x:v>
      </x:c>
      <x:c r="N647" s="41" t="str"/>
    </x:row>
    <x:row r="648">
      <x:c r="A648" s="37" t="str">
        <x:f>"000071"</x:f>
        <x:v>000071</x:v>
      </x:c>
      <x:c r="B648" s="38" t="str">
        <x:f>"0"</x:f>
        <x:v>0</x:v>
      </x:c>
      <x:c r="C648" s="38" t="str">
        <x:v>SILVIA LOPES VARELA FERNANDES SUMI</x:v>
      </x:c>
      <x:c r="D648" s="38" t="str">
        <x:f>"79105718872"</x:f>
        <x:v>79105718872</x:v>
      </x:c>
      <x:c r="E648" s="38" t="str">
        <x:f>"32874712"</x:f>
        <x:v>32874712</x:v>
      </x:c>
      <x:c r="F648" s="38" t="str">
        <x:v>silviasumi@terra.com.br</x:v>
      </x:c>
      <x:c r="G648" s="39" t="n">
        <x:v>46125</x:v>
      </x:c>
      <x:c r="H648" s="16" t="str">
        <x:v>04/2026</x:v>
      </x:c>
      <x:c r="I648" s="40" t="n">
        <x:v>266</x:v>
      </x:c>
      <x:c r="J648" s="40" t="n">
        <x:v>286.71</x:v>
      </x:c>
      <x:c r="K648" s="16" t="str">
        <x:v>Novo</x:v>
      </x:c>
      <x:c r="L648" s="16" t="str">
        <x:v>Em aberto</x:v>
      </x:c>
      <x:c r="M648" s="16" t="str">
        <x:v>be5bc8d2-2c93-40e6-b890-c1f0a8197ed3</x:v>
      </x:c>
      <x:c r="N648" s="41" t="str"/>
    </x:row>
    <x:row r="649">
      <x:c r="A649" s="37" t="str">
        <x:f>"000071"</x:f>
        <x:v>000071</x:v>
      </x:c>
      <x:c r="B649" s="38" t="str">
        <x:f>"0"</x:f>
        <x:v>0</x:v>
      </x:c>
      <x:c r="C649" s="38" t="str">
        <x:v>SILVIA LOPES VARELA FERNANDES SUMI</x:v>
      </x:c>
      <x:c r="D649" s="38" t="str">
        <x:f>"79105718872"</x:f>
        <x:v>79105718872</x:v>
      </x:c>
      <x:c r="E649" s="38" t="str">
        <x:f>"32874712"</x:f>
        <x:v>32874712</x:v>
      </x:c>
      <x:c r="F649" s="38" t="str">
        <x:v>silviasumi@terra.com.br</x:v>
      </x:c>
      <x:c r="G649" s="39" t="n">
        <x:v>46157</x:v>
      </x:c>
      <x:c r="H649" s="16" t="str">
        <x:v>05/2026</x:v>
      </x:c>
      <x:c r="I649" s="40" t="n">
        <x:v>266</x:v>
      </x:c>
      <x:c r="J649" s="40" t="n">
        <x:v>281.67</x:v>
      </x:c>
      <x:c r="K649" s="16" t="str">
        <x:v>Novo</x:v>
      </x:c>
      <x:c r="L649" s="16" t="str">
        <x:v>Em aberto</x:v>
      </x:c>
      <x:c r="M649" s="16" t="str">
        <x:v>528778ea-f66b-4f68-958f-aa227756859e</x:v>
      </x:c>
      <x:c r="N649" s="41" t="str"/>
    </x:row>
    <x:row r="650">
      <x:c r="A650" s="37" t="str">
        <x:f>"000071"</x:f>
        <x:v>000071</x:v>
      </x:c>
      <x:c r="B650" s="38" t="str">
        <x:f>"0"</x:f>
        <x:v>0</x:v>
      </x:c>
      <x:c r="C650" s="38" t="str">
        <x:v>SILVIA LOPES VARELA FERNANDES SUMI</x:v>
      </x:c>
      <x:c r="D650" s="38" t="str">
        <x:f>"79105718872"</x:f>
        <x:v>79105718872</x:v>
      </x:c>
      <x:c r="E650" s="38" t="str">
        <x:f>"32874712"</x:f>
        <x:v>32874712</x:v>
      </x:c>
      <x:c r="F650" s="38" t="str">
        <x:v>silviasumi@terra.com.br</x:v>
      </x:c>
      <x:c r="G650" s="39" t="n">
        <x:v>46188</x:v>
      </x:c>
      <x:c r="H650" s="16" t="str">
        <x:v>06/2026</x:v>
      </x:c>
      <x:c r="I650" s="40" t="n">
        <x:v>266</x:v>
      </x:c>
      <x:c r="J650" s="40" t="n">
        <x:v>277.14</x:v>
      </x:c>
      <x:c r="K650" s="16" t="str">
        <x:v>Novo</x:v>
      </x:c>
      <x:c r="L650" s="16" t="str">
        <x:v>Em aberto</x:v>
      </x:c>
      <x:c r="M650" s="16" t="str">
        <x:v>fdf97705-4e09-4132-a676-d5089b56eb14</x:v>
      </x:c>
      <x:c r="N650" s="41" t="str"/>
    </x:row>
    <x:row r="651">
      <x:c r="A651" s="37" t="str">
        <x:f>"000071"</x:f>
        <x:v>000071</x:v>
      </x:c>
      <x:c r="B651" s="38" t="str">
        <x:f>"0"</x:f>
        <x:v>0</x:v>
      </x:c>
      <x:c r="C651" s="38" t="str">
        <x:v>SILVIA LOPES VARELA FERNANDES SUMI</x:v>
      </x:c>
      <x:c r="D651" s="38" t="str">
        <x:f>"79105718872"</x:f>
        <x:v>79105718872</x:v>
      </x:c>
      <x:c r="E651" s="38" t="str">
        <x:f>"32874712"</x:f>
        <x:v>32874712</x:v>
      </x:c>
      <x:c r="F651" s="38" t="str">
        <x:v>silviasumi@terra.com.br</x:v>
      </x:c>
      <x:c r="G651" s="39" t="n">
        <x:v>46213</x:v>
      </x:c>
      <x:c r="H651" s="16" t="str">
        <x:v>07/2026</x:v>
      </x:c>
      <x:c r="I651" s="40" t="n">
        <x:v>266</x:v>
      </x:c>
      <x:c r="J651" s="40" t="n">
        <x:v>274.03</x:v>
      </x:c>
      <x:c r="K651" s="16" t="str">
        <x:v>Novo</x:v>
      </x:c>
      <x:c r="L651" s="16" t="str">
        <x:v>Em aberto</x:v>
      </x:c>
      <x:c r="M651" s="16" t="str">
        <x:v>be2657e5-efd6-4f05-8dec-32fff3915993</x:v>
      </x:c>
      <x:c r="N651" s="41" t="str"/>
    </x:row>
    <x:row r="652">
      <x:c r="A652" s="37" t="str">
        <x:f>"000102"</x:f>
        <x:v>000102</x:v>
      </x:c>
      <x:c r="B652" s="38" t="str">
        <x:f>"0"</x:f>
        <x:v>0</x:v>
      </x:c>
      <x:c r="C652" s="38" t="str">
        <x:v>JANE MARLY FRANCALOSSI</x:v>
      </x:c>
      <x:c r="D652" s="38" t="str">
        <x:f>""</x:f>
      </x:c>
      <x:c r="E652" s="38" t="str">
        <x:f>""</x:f>
      </x:c>
      <x:c r="F652" s="38" t="str"/>
      <x:c r="G652" s="39" t="n">
        <x:v>46204</x:v>
      </x:c>
      <x:c r="H652" s="16" t="str">
        <x:v>07/2026</x:v>
      </x:c>
      <x:c r="I652" s="40" t="n">
        <x:v>2324.98</x:v>
      </x:c>
      <x:c r="J652" s="40" t="n">
        <x:v>2395.2</x:v>
      </x:c>
      <x:c r="K652" s="16" t="str">
        <x:v>Novo</x:v>
      </x:c>
      <x:c r="L652" s="16" t="str">
        <x:v>Em aberto</x:v>
      </x:c>
      <x:c r="M652" s="16" t="str">
        <x:v>023ef9b7-2a28-4541-a32c-20bdfaa0731a</x:v>
      </x:c>
      <x:c r="N652" s="41" t="str"/>
    </x:row>
    <x:row r="653">
      <x:c r="A653" s="37" t="str">
        <x:f>"000122"</x:f>
        <x:v>000122</x:v>
      </x:c>
      <x:c r="B653" s="38" t="str">
        <x:f>"0"</x:f>
        <x:v>0</x:v>
      </x:c>
      <x:c r="C653" s="38" t="str">
        <x:v>DANIEL FALEIROS MIGLIANO</x:v>
      </x:c>
      <x:c r="D653" s="38" t="str">
        <x:f>"16723161890"</x:f>
        <x:v>16723161890</x:v>
      </x:c>
      <x:c r="E653" s="38" t="str">
        <x:f>"991111524"</x:f>
        <x:v>991111524</x:v>
      </x:c>
      <x:c r="F653" s="38" t="str">
        <x:v>dfmigliano@hotmail.com</x:v>
      </x:c>
      <x:c r="G653" s="39" t="n">
        <x:v>46037</x:v>
      </x:c>
      <x:c r="H653" s="16" t="str">
        <x:v>01/2026</x:v>
      </x:c>
      <x:c r="I653" s="40" t="n">
        <x:v>266</x:v>
      </x:c>
      <x:c r="J653" s="40" t="n">
        <x:v>300.49</x:v>
      </x:c>
      <x:c r="K653" s="16" t="str">
        <x:v>Novo</x:v>
      </x:c>
      <x:c r="L653" s="16" t="str">
        <x:v>Em aberto</x:v>
      </x:c>
      <x:c r="M653" s="16" t="str">
        <x:v>cf94f649-a907-4733-8e98-290ac13654e7</x:v>
      </x:c>
      <x:c r="N653" s="41" t="str"/>
    </x:row>
    <x:row r="654">
      <x:c r="A654" s="37" t="str">
        <x:f>"000122"</x:f>
        <x:v>000122</x:v>
      </x:c>
      <x:c r="B654" s="38" t="str">
        <x:f>"0"</x:f>
        <x:v>0</x:v>
      </x:c>
      <x:c r="C654" s="38" t="str">
        <x:v>DANIEL FALEIROS MIGLIANO</x:v>
      </x:c>
      <x:c r="D654" s="38" t="str">
        <x:f>"16723161890"</x:f>
        <x:v>16723161890</x:v>
      </x:c>
      <x:c r="E654" s="38" t="str">
        <x:f>"991111524"</x:f>
        <x:v>991111524</x:v>
      </x:c>
      <x:c r="F654" s="38" t="str">
        <x:v>dfmigliano@hotmail.com</x:v>
      </x:c>
      <x:c r="G654" s="39" t="n">
        <x:v>46069</x:v>
      </x:c>
      <x:c r="H654" s="16" t="str">
        <x:v>02/2026</x:v>
      </x:c>
      <x:c r="I654" s="40" t="n">
        <x:v>266</x:v>
      </x:c>
      <x:c r="J654" s="40" t="n">
        <x:v>296.53</x:v>
      </x:c>
      <x:c r="K654" s="16" t="str">
        <x:v>Novo</x:v>
      </x:c>
      <x:c r="L654" s="16" t="str">
        <x:v>Em aberto</x:v>
      </x:c>
      <x:c r="M654" s="16" t="str">
        <x:v>916124e3-708f-4b41-9d0c-0573fa82d01c</x:v>
      </x:c>
      <x:c r="N654" s="41" t="str"/>
    </x:row>
    <x:row r="655">
      <x:c r="A655" s="37" t="str">
        <x:f>"000122"</x:f>
        <x:v>000122</x:v>
      </x:c>
      <x:c r="B655" s="38" t="str">
        <x:f>"0"</x:f>
        <x:v>0</x:v>
      </x:c>
      <x:c r="C655" s="38" t="str">
        <x:v>DANIEL FALEIROS MIGLIANO</x:v>
      </x:c>
      <x:c r="D655" s="38" t="str">
        <x:f>"16723161890"</x:f>
        <x:v>16723161890</x:v>
      </x:c>
      <x:c r="E655" s="38" t="str">
        <x:f>"991111524"</x:f>
        <x:v>991111524</x:v>
      </x:c>
      <x:c r="F655" s="38" t="str">
        <x:v>dfmigliano@hotmail.com</x:v>
      </x:c>
      <x:c r="G655" s="39" t="n">
        <x:v>46094</x:v>
      </x:c>
      <x:c r="H655" s="16" t="str">
        <x:v>03/2026</x:v>
      </x:c>
      <x:c r="I655" s="40" t="n">
        <x:v>266</x:v>
      </x:c>
      <x:c r="J655" s="40" t="n">
        <x:v>292.1</x:v>
      </x:c>
      <x:c r="K655" s="16" t="str">
        <x:v>Novo</x:v>
      </x:c>
      <x:c r="L655" s="16" t="str">
        <x:v>Em aberto</x:v>
      </x:c>
      <x:c r="M655" s="16" t="str">
        <x:v>260af3ad-a089-4dc1-ae8b-56396942aef8</x:v>
      </x:c>
      <x:c r="N655" s="41" t="str"/>
    </x:row>
    <x:row r="656">
      <x:c r="A656" s="37" t="str">
        <x:f>"000122"</x:f>
        <x:v>000122</x:v>
      </x:c>
      <x:c r="B656" s="38" t="str">
        <x:f>"0"</x:f>
        <x:v>0</x:v>
      </x:c>
      <x:c r="C656" s="38" t="str">
        <x:v>DANIEL FALEIROS MIGLIANO</x:v>
      </x:c>
      <x:c r="D656" s="38" t="str">
        <x:f>"16723161890"</x:f>
        <x:v>16723161890</x:v>
      </x:c>
      <x:c r="E656" s="38" t="str">
        <x:f>"991111524"</x:f>
        <x:v>991111524</x:v>
      </x:c>
      <x:c r="F656" s="38" t="str">
        <x:v>dfmigliano@hotmail.com</x:v>
      </x:c>
      <x:c r="G656" s="39" t="n">
        <x:v>46125</x:v>
      </x:c>
      <x:c r="H656" s="16" t="str">
        <x:v>04/2026</x:v>
      </x:c>
      <x:c r="I656" s="40" t="n">
        <x:v>266</x:v>
      </x:c>
      <x:c r="J656" s="40" t="n">
        <x:v>286.71</x:v>
      </x:c>
      <x:c r="K656" s="16" t="str">
        <x:v>Novo</x:v>
      </x:c>
      <x:c r="L656" s="16" t="str">
        <x:v>Em aberto</x:v>
      </x:c>
      <x:c r="M656" s="16" t="str">
        <x:v>2015fd2b-7c4d-4559-a5ab-79d3bb7be479</x:v>
      </x:c>
      <x:c r="N656" s="41" t="str"/>
    </x:row>
    <x:row r="657">
      <x:c r="A657" s="37" t="str">
        <x:f>"000122"</x:f>
        <x:v>000122</x:v>
      </x:c>
      <x:c r="B657" s="38" t="str">
        <x:f>"0"</x:f>
        <x:v>0</x:v>
      </x:c>
      <x:c r="C657" s="38" t="str">
        <x:v>DANIEL FALEIROS MIGLIANO</x:v>
      </x:c>
      <x:c r="D657" s="38" t="str">
        <x:f>"16723161890"</x:f>
        <x:v>16723161890</x:v>
      </x:c>
      <x:c r="E657" s="38" t="str">
        <x:f>"991111524"</x:f>
        <x:v>991111524</x:v>
      </x:c>
      <x:c r="F657" s="38" t="str">
        <x:v>dfmigliano@hotmail.com</x:v>
      </x:c>
      <x:c r="G657" s="39" t="n">
        <x:v>46157</x:v>
      </x:c>
      <x:c r="H657" s="16" t="str">
        <x:v>05/2026</x:v>
      </x:c>
      <x:c r="I657" s="40" t="n">
        <x:v>266</x:v>
      </x:c>
      <x:c r="J657" s="40" t="n">
        <x:v>281.67</x:v>
      </x:c>
      <x:c r="K657" s="16" t="str">
        <x:v>Novo</x:v>
      </x:c>
      <x:c r="L657" s="16" t="str">
        <x:v>Em aberto</x:v>
      </x:c>
      <x:c r="M657" s="16" t="str">
        <x:v>9ca9e2e2-ee54-4579-8529-5b01981059fc</x:v>
      </x:c>
      <x:c r="N657" s="41" t="str"/>
    </x:row>
    <x:row r="658">
      <x:c r="A658" s="37" t="str">
        <x:f>"000122"</x:f>
        <x:v>000122</x:v>
      </x:c>
      <x:c r="B658" s="38" t="str">
        <x:f>"0"</x:f>
        <x:v>0</x:v>
      </x:c>
      <x:c r="C658" s="38" t="str">
        <x:v>DANIEL FALEIROS MIGLIANO</x:v>
      </x:c>
      <x:c r="D658" s="38" t="str">
        <x:f>"16723161890"</x:f>
        <x:v>16723161890</x:v>
      </x:c>
      <x:c r="E658" s="38" t="str">
        <x:f>"991111524"</x:f>
        <x:v>991111524</x:v>
      </x:c>
      <x:c r="F658" s="38" t="str">
        <x:v>dfmigliano@hotmail.com</x:v>
      </x:c>
      <x:c r="G658" s="39" t="n">
        <x:v>46188</x:v>
      </x:c>
      <x:c r="H658" s="16" t="str">
        <x:v>06/2026</x:v>
      </x:c>
      <x:c r="I658" s="40" t="n">
        <x:v>266</x:v>
      </x:c>
      <x:c r="J658" s="40" t="n">
        <x:v>277.14</x:v>
      </x:c>
      <x:c r="K658" s="16" t="str">
        <x:v>Novo</x:v>
      </x:c>
      <x:c r="L658" s="16" t="str">
        <x:v>Em aberto</x:v>
      </x:c>
      <x:c r="M658" s="16" t="str">
        <x:v>d919593f-2b59-4c54-81bd-b35a48afabbf</x:v>
      </x:c>
      <x:c r="N658" s="41" t="str"/>
    </x:row>
    <x:row r="659">
      <x:c r="A659" s="42" t="str">
        <x:f>"000122"</x:f>
        <x:v>000122</x:v>
      </x:c>
      <x:c r="B659" s="43" t="str">
        <x:f>"0"</x:f>
        <x:v>0</x:v>
      </x:c>
      <x:c r="C659" s="43" t="str">
        <x:v>DANIEL FALEIROS MIGLIANO</x:v>
      </x:c>
      <x:c r="D659" s="43" t="str">
        <x:f>"16723161890"</x:f>
        <x:v>16723161890</x:v>
      </x:c>
      <x:c r="E659" s="43" t="str">
        <x:f>"991111524"</x:f>
        <x:v>991111524</x:v>
      </x:c>
      <x:c r="F659" s="43" t="str">
        <x:v>dfmigliano@hotmail.com</x:v>
      </x:c>
      <x:c r="G659" s="44" t="n">
        <x:v>46213</x:v>
      </x:c>
      <x:c r="H659" s="20" t="str">
        <x:v>07/2026</x:v>
      </x:c>
      <x:c r="I659" s="45" t="n">
        <x:v>266</x:v>
      </x:c>
      <x:c r="J659" s="45" t="n">
        <x:v>274.03</x:v>
      </x:c>
      <x:c r="K659" s="20" t="str">
        <x:v>Novo</x:v>
      </x:c>
      <x:c r="L659" s="20" t="str">
        <x:v>Em aberto</x:v>
      </x:c>
      <x:c r="M659" s="20" t="str">
        <x:v>00583a06-80f5-4871-b0d0-80289869ef42</x:v>
      </x:c>
      <x:c r="N659" s="46" t="str"/>
    </x:row>
    <x:row r="660">
      <x:c r="A660" s="47" t="str">
        <x:v>Subtotal</x:v>
      </x:c>
      <x:c r="B660" s="47" t="str"/>
      <x:c r="C660" s="47" t="str"/>
      <x:c r="D660" s="47" t="str"/>
      <x:c r="E660" s="47" t="str"/>
      <x:c r="F660" s="47" t="str"/>
      <x:c r="G660" s="47" t="str"/>
      <x:c r="H660" s="47" t="str"/>
      <x:c r="I660" s="47" t="str"/>
      <x:c r="J660" s="48" t="n">
        <x:v>23674.2</x:v>
      </x:c>
      <x:c r="K660" s="47" t="str">
        <x:v>28 novas</x:v>
      </x:c>
      <x:c r="L660" s="47" t="str">
        <x:v>1 ativas</x:v>
      </x:c>
      <x:c r="M660" s="47" t="str"/>
      <x:c r="N660" s="47" t="str"/>
    </x:row>
    <x:row r="662">
      <x:c r="A662" s="26" t="str">
        <x:v>CONDOMINIO EDIFICIO ILIADA</x:v>
      </x:c>
      <x:c r="B662" s="26"/>
      <x:c r="C662" s="26"/>
      <x:c r="D662" s="26"/>
      <x:c r="E662" s="26"/>
      <x:c r="F662" s="26"/>
      <x:c r="G662" s="26"/>
      <x:c r="H662" s="26"/>
      <x:c r="I662" s="26"/>
      <x:c r="J662" s="26"/>
      <x:c r="K662" s="26"/>
      <x:c r="L662" s="26"/>
      <x:c r="M662" s="26"/>
      <x:c r="N662" s="26"/>
    </x:row>
    <x:row r="663">
      <x:c r="A663" s="28" t="str">
        <x:v>CNPJ</x:v>
      </x:c>
      <x:c r="B663" s="28" t="str">
        <x:v>53.829.495/0001-22</x:v>
      </x:c>
      <x:c r="C663" s="28"/>
      <x:c r="D663" s="28" t="str">
        <x:v>Dia de vencimento</x:v>
      </x:c>
      <x:c r="E663" s="28" t="n">
        <x:v>10</x:v>
      </x:c>
      <x:c r="F663" s="28" t="str">
        <x:v>Régua</x:v>
      </x:c>
      <x:c r="G663" s="28" t="str">
        <x:v>D+30 · pré-jurídico em D+60</x:v>
      </x:c>
      <x:c r="H663" s="28"/>
      <x:c r="I663" s="28"/>
      <x:c r="J663" s="28"/>
      <x:c r="K663" s="28"/>
      <x:c r="L663" s="28"/>
      <x:c r="M663" s="28"/>
      <x:c r="N663" s="28"/>
    </x:row>
    <x:row r="664">
      <x:c r="A664" s="9" t="str">
        <x:v>Unidade</x:v>
      </x:c>
      <x:c r="B664" s="9" t="str">
        <x:v>Bloco</x:v>
      </x:c>
      <x:c r="C664" s="9" t="str">
        <x:v>Responsável</x:v>
      </x:c>
      <x:c r="D664" s="9" t="str">
        <x:v>Documento</x:v>
      </x:c>
      <x:c r="E664" s="9" t="str">
        <x:v>Telefone</x:v>
      </x:c>
      <x:c r="F664" s="9" t="str">
        <x:v>E-mail</x:v>
      </x:c>
      <x:c r="G664" s="9" t="str">
        <x:v>Vencimento</x:v>
      </x:c>
      <x:c r="H664" s="9" t="str">
        <x:v>Competência</x:v>
      </x:c>
      <x:c r="I664" s="9" t="str">
        <x:v>Valor original</x:v>
      </x:c>
      <x:c r="J664" s="9" t="str">
        <x:v>Valor atualizado</x:v>
      </x:c>
      <x:c r="K664" s="9" t="str">
        <x:v>Status operacional</x:v>
      </x:c>
      <x:c r="L664" s="9" t="str">
        <x:v>Status financeiro</x:v>
      </x:c>
      <x:c r="M664" s="9" t="str">
        <x:v>ID cobrança</x:v>
      </x:c>
      <x:c r="N664" s="9" t="str">
        <x:v>Observação</x:v>
      </x:c>
    </x:row>
    <x:row r="665">
      <x:c r="A665" s="31" t="str">
        <x:f>"000092"</x:f>
        <x:v>000092</x:v>
      </x:c>
      <x:c r="B665" s="32" t="str">
        <x:f>"0"</x:f>
        <x:v>0</x:v>
      </x:c>
      <x:c r="C665" s="32" t="str">
        <x:v>CLAUDIA RAGAINI</x:v>
      </x:c>
      <x:c r="D665" s="32" t="str">
        <x:f>""</x:f>
      </x:c>
      <x:c r="E665" s="32" t="str">
        <x:f>""</x:f>
      </x:c>
      <x:c r="F665" s="32" t="str"/>
      <x:c r="G665" s="33" t="n">
        <x:v>46024</x:v>
      </x:c>
      <x:c r="H665" s="34" t="str">
        <x:v>01/2026</x:v>
      </x:c>
      <x:c r="I665" s="35" t="n">
        <x:v>1187</x:v>
      </x:c>
      <x:c r="J665" s="35" t="n">
        <x:v>1340.94</x:v>
      </x:c>
      <x:c r="K665" s="34" t="str">
        <x:v>Novo</x:v>
      </x:c>
      <x:c r="L665" s="34" t="str">
        <x:v>Em aberto</x:v>
      </x:c>
      <x:c r="M665" s="34" t="str">
        <x:v>f3d55b9d-8124-4f67-86bd-45b700fa57f2</x:v>
      </x:c>
      <x:c r="N665" s="36" t="str"/>
    </x:row>
    <x:row r="666">
      <x:c r="A666" s="42" t="str">
        <x:f>"000111"</x:f>
        <x:v>000111</x:v>
      </x:c>
      <x:c r="B666" s="43" t="str">
        <x:f>"0"</x:f>
        <x:v>0</x:v>
      </x:c>
      <x:c r="C666" s="43" t="str">
        <x:v>RITA AIRES BATISTA</x:v>
      </x:c>
      <x:c r="D666" s="43" t="str">
        <x:f>""</x:f>
      </x:c>
      <x:c r="E666" s="43" t="str">
        <x:f>""</x:f>
      </x:c>
      <x:c r="F666" s="43" t="str"/>
      <x:c r="G666" s="44" t="n">
        <x:v>46205</x:v>
      </x:c>
      <x:c r="H666" s="20" t="str">
        <x:v>07/2026</x:v>
      </x:c>
      <x:c r="I666" s="45" t="n">
        <x:v>1697</x:v>
      </x:c>
      <x:c r="J666" s="45" t="n">
        <x:v>1748.25</x:v>
      </x:c>
      <x:c r="K666" s="20" t="str">
        <x:v>Novo</x:v>
      </x:c>
      <x:c r="L666" s="20" t="str">
        <x:v>Em aberto</x:v>
      </x:c>
      <x:c r="M666" s="20" t="str">
        <x:v>1fee2e9c-90d7-4d7b-910d-df5f5dca4c6b</x:v>
      </x:c>
      <x:c r="N666" s="46" t="str"/>
    </x:row>
    <x:row r="667">
      <x:c r="A667" s="47" t="str">
        <x:v>Subtotal</x:v>
      </x:c>
      <x:c r="B667" s="47" t="str"/>
      <x:c r="C667" s="47" t="str"/>
      <x:c r="D667" s="47" t="str"/>
      <x:c r="E667" s="47" t="str"/>
      <x:c r="F667" s="47" t="str"/>
      <x:c r="G667" s="47" t="str"/>
      <x:c r="H667" s="47" t="str"/>
      <x:c r="I667" s="47" t="str"/>
      <x:c r="J667" s="48" t="n">
        <x:v>3089.19</x:v>
      </x:c>
      <x:c r="K667" s="47" t="str">
        <x:v>2 novas</x:v>
      </x:c>
      <x:c r="L667" s="47" t="str">
        <x:v>0 ativas</x:v>
      </x:c>
      <x:c r="M667" s="47" t="str"/>
      <x:c r="N667" s="47" t="str"/>
    </x:row>
    <x:row r="669">
      <x:c r="A669" s="26" t="str">
        <x:v>CONDOMÍNIO EDIFÍCIO IMPERIAL BERRINI OFFICES</x:v>
      </x:c>
      <x:c r="B669" s="26"/>
      <x:c r="C669" s="26"/>
      <x:c r="D669" s="26"/>
      <x:c r="E669" s="26"/>
      <x:c r="F669" s="26"/>
      <x:c r="G669" s="26"/>
      <x:c r="H669" s="26"/>
      <x:c r="I669" s="26"/>
      <x:c r="J669" s="26"/>
      <x:c r="K669" s="26"/>
      <x:c r="L669" s="26"/>
      <x:c r="M669" s="26"/>
      <x:c r="N669" s="26"/>
    </x:row>
    <x:row r="670">
      <x:c r="A670" s="28" t="str">
        <x:v>CNPJ</x:v>
      </x:c>
      <x:c r="B670" s="28" t="str">
        <x:v>02.498.495/0001-56</x:v>
      </x:c>
      <x:c r="C670" s="28"/>
      <x:c r="D670" s="28" t="str">
        <x:v>Dia de vencimento</x:v>
      </x:c>
      <x:c r="E670" s="28" t="n">
        <x:v>5</x:v>
      </x:c>
      <x:c r="F670" s="28" t="str">
        <x:v>Régua</x:v>
      </x:c>
      <x:c r="G670" s="28" t="str">
        <x:v>D+60 · pré-jurídico em D+90</x:v>
      </x:c>
      <x:c r="H670" s="28"/>
      <x:c r="I670" s="28"/>
      <x:c r="J670" s="28"/>
      <x:c r="K670" s="28"/>
      <x:c r="L670" s="28"/>
      <x:c r="M670" s="28"/>
      <x:c r="N670" s="28"/>
    </x:row>
    <x:row r="671">
      <x:c r="A671" s="9" t="str">
        <x:v>Unidade</x:v>
      </x:c>
      <x:c r="B671" s="9" t="str">
        <x:v>Bloco</x:v>
      </x:c>
      <x:c r="C671" s="9" t="str">
        <x:v>Responsável</x:v>
      </x:c>
      <x:c r="D671" s="9" t="str">
        <x:v>Documento</x:v>
      </x:c>
      <x:c r="E671" s="9" t="str">
        <x:v>Telefone</x:v>
      </x:c>
      <x:c r="F671" s="9" t="str">
        <x:v>E-mail</x:v>
      </x:c>
      <x:c r="G671" s="9" t="str">
        <x:v>Vencimento</x:v>
      </x:c>
      <x:c r="H671" s="9" t="str">
        <x:v>Competência</x:v>
      </x:c>
      <x:c r="I671" s="9" t="str">
        <x:v>Valor original</x:v>
      </x:c>
      <x:c r="J671" s="9" t="str">
        <x:v>Valor atualizado</x:v>
      </x:c>
      <x:c r="K671" s="9" t="str">
        <x:v>Status operacional</x:v>
      </x:c>
      <x:c r="L671" s="9" t="str">
        <x:v>Status financeiro</x:v>
      </x:c>
      <x:c r="M671" s="9" t="str">
        <x:v>ID cobrança</x:v>
      </x:c>
      <x:c r="N671" s="9" t="str">
        <x:v>Observação</x:v>
      </x:c>
    </x:row>
    <x:row r="672">
      <x:c r="A672" s="31" t="str">
        <x:f>"000408"</x:f>
        <x:v>000408</x:v>
      </x:c>
      <x:c r="B672" s="32" t="str">
        <x:f>"0"</x:f>
        <x:v>0</x:v>
      </x:c>
      <x:c r="C672" s="32" t="str">
        <x:v>JOSE ROBERTO BARBOUR</x:v>
      </x:c>
      <x:c r="D672" s="32" t="str">
        <x:f>"43113320844"</x:f>
        <x:v>43113320844</x:v>
      </x:c>
      <x:c r="E672" s="32" t="str">
        <x:f>""</x:f>
      </x:c>
      <x:c r="F672" s="32" t="str">
        <x:v>robertobarbour@gmail.com</x:v>
      </x:c>
      <x:c r="G672" s="33" t="n">
        <x:v>46027</x:v>
      </x:c>
      <x:c r="H672" s="34" t="str">
        <x:v>01/2026</x:v>
      </x:c>
      <x:c r="I672" s="35" t="n">
        <x:v>999.76</x:v>
      </x:c>
      <x:c r="J672" s="35" t="n">
        <x:v>1132.69</x:v>
      </x:c>
      <x:c r="K672" s="34" t="str">
        <x:v>Novo</x:v>
      </x:c>
      <x:c r="L672" s="34" t="str">
        <x:v>Em aberto</x:v>
      </x:c>
      <x:c r="M672" s="34" t="str">
        <x:v>65f67baa-ae19-4f80-960d-2eb2bc3c6c73</x:v>
      </x:c>
      <x:c r="N672" s="36" t="str"/>
    </x:row>
    <x:row r="673">
      <x:c r="A673" s="37" t="str">
        <x:f>"000408"</x:f>
        <x:v>000408</x:v>
      </x:c>
      <x:c r="B673" s="38" t="str">
        <x:f>"0"</x:f>
        <x:v>0</x:v>
      </x:c>
      <x:c r="C673" s="38" t="str">
        <x:v>JOSE ROBERTO BARBOUR</x:v>
      </x:c>
      <x:c r="D673" s="38" t="str">
        <x:f>"43113320844"</x:f>
        <x:v>43113320844</x:v>
      </x:c>
      <x:c r="E673" s="38" t="str">
        <x:f>""</x:f>
      </x:c>
      <x:c r="F673" s="38" t="str">
        <x:v>robertobarbour@gmail.com</x:v>
      </x:c>
      <x:c r="G673" s="39" t="n">
        <x:v>46058</x:v>
      </x:c>
      <x:c r="H673" s="16" t="str">
        <x:v>02/2026</x:v>
      </x:c>
      <x:c r="I673" s="40" t="n">
        <x:v>979.78</x:v>
      </x:c>
      <x:c r="J673" s="40" t="n">
        <x:v>1097.5</x:v>
      </x:c>
      <x:c r="K673" s="16" t="str">
        <x:v>Novo</x:v>
      </x:c>
      <x:c r="L673" s="16" t="str">
        <x:v>Em aberto</x:v>
      </x:c>
      <x:c r="M673" s="16" t="str">
        <x:v>04ba4317-09ce-4cb6-9344-9d55522206e9</x:v>
      </x:c>
      <x:c r="N673" s="41" t="str"/>
    </x:row>
    <x:row r="674">
      <x:c r="A674" s="37" t="str">
        <x:f>"000408"</x:f>
        <x:v>000408</x:v>
      </x:c>
      <x:c r="B674" s="38" t="str">
        <x:f>"0"</x:f>
        <x:v>0</x:v>
      </x:c>
      <x:c r="C674" s="38" t="str">
        <x:v>JOSE ROBERTO BARBOUR</x:v>
      </x:c>
      <x:c r="D674" s="38" t="str">
        <x:f>"43113320844"</x:f>
        <x:v>43113320844</x:v>
      </x:c>
      <x:c r="E674" s="38" t="str">
        <x:f>""</x:f>
      </x:c>
      <x:c r="F674" s="38" t="str">
        <x:v>robertobarbour@gmail.com</x:v>
      </x:c>
      <x:c r="G674" s="39" t="n">
        <x:v>46086</x:v>
      </x:c>
      <x:c r="H674" s="16" t="str">
        <x:v>03/2026</x:v>
      </x:c>
      <x:c r="I674" s="40" t="n">
        <x:v>979.78</x:v>
      </x:c>
      <x:c r="J674" s="40" t="n">
        <x:v>1096.35</x:v>
      </x:c>
      <x:c r="K674" s="16" t="str">
        <x:v>Novo</x:v>
      </x:c>
      <x:c r="L674" s="16" t="str">
        <x:v>Em aberto</x:v>
      </x:c>
      <x:c r="M674" s="16" t="str">
        <x:v>f5ccf0eb-7e39-4b53-bdba-0944f168d983</x:v>
      </x:c>
      <x:c r="N674" s="41" t="str"/>
    </x:row>
    <x:row r="675">
      <x:c r="A675" s="37" t="str">
        <x:f>"000408"</x:f>
        <x:v>000408</x:v>
      </x:c>
      <x:c r="B675" s="38" t="str">
        <x:f>"0"</x:f>
        <x:v>0</x:v>
      </x:c>
      <x:c r="C675" s="38" t="str">
        <x:v>JOSE ROBERTO BARBOUR</x:v>
      </x:c>
      <x:c r="D675" s="38" t="str">
        <x:f>"43113320844"</x:f>
        <x:v>43113320844</x:v>
      </x:c>
      <x:c r="E675" s="38" t="str">
        <x:f>""</x:f>
      </x:c>
      <x:c r="F675" s="38" t="str">
        <x:v>robertobarbour@gmail.com</x:v>
      </x:c>
      <x:c r="G675" s="39" t="n">
        <x:v>46117</x:v>
      </x:c>
      <x:c r="H675" s="16" t="str">
        <x:v>04/2026</x:v>
      </x:c>
      <x:c r="I675" s="40" t="n">
        <x:v>979.78</x:v>
      </x:c>
      <x:c r="J675" s="40" t="n">
        <x:v>1073.65</x:v>
      </x:c>
      <x:c r="K675" s="16" t="str">
        <x:v>Novo</x:v>
      </x:c>
      <x:c r="L675" s="16" t="str">
        <x:v>Em aberto</x:v>
      </x:c>
      <x:c r="M675" s="16" t="str">
        <x:v>5a60fefe-924b-4f13-a334-98f0b96c5f08</x:v>
      </x:c>
      <x:c r="N675" s="41" t="str"/>
    </x:row>
    <x:row r="676">
      <x:c r="A676" s="37" t="str">
        <x:f>"000408"</x:f>
        <x:v>000408</x:v>
      </x:c>
      <x:c r="B676" s="38" t="str">
        <x:f>"0"</x:f>
        <x:v>0</x:v>
      </x:c>
      <x:c r="C676" s="38" t="str">
        <x:v>JOSE ROBERTO BARBOUR</x:v>
      </x:c>
      <x:c r="D676" s="38" t="str">
        <x:f>"43113320844"</x:f>
        <x:v>43113320844</x:v>
      </x:c>
      <x:c r="E676" s="38" t="str">
        <x:f>""</x:f>
      </x:c>
      <x:c r="F676" s="38" t="str">
        <x:v>robertobarbour@gmail.com</x:v>
      </x:c>
      <x:c r="G676" s="39" t="n">
        <x:v>46147</x:v>
      </x:c>
      <x:c r="H676" s="16" t="str">
        <x:v>05/2026</x:v>
      </x:c>
      <x:c r="I676" s="40" t="n">
        <x:v>979.78</x:v>
      </x:c>
      <x:c r="J676" s="40" t="n">
        <x:v>1038.32</x:v>
      </x:c>
      <x:c r="K676" s="16" t="str">
        <x:v>Novo</x:v>
      </x:c>
      <x:c r="L676" s="16" t="str">
        <x:v>Em aberto</x:v>
      </x:c>
      <x:c r="M676" s="16" t="str">
        <x:v>3b601690-1f97-4ff3-be85-e7918cafa953</x:v>
      </x:c>
      <x:c r="N676" s="41" t="str"/>
    </x:row>
    <x:row r="677">
      <x:c r="A677" s="37" t="str">
        <x:f>"000408"</x:f>
        <x:v>000408</x:v>
      </x:c>
      <x:c r="B677" s="38" t="str">
        <x:f>"0"</x:f>
        <x:v>0</x:v>
      </x:c>
      <x:c r="C677" s="38" t="str">
        <x:v>JOSE ROBERTO BARBOUR</x:v>
      </x:c>
      <x:c r="D677" s="38" t="str">
        <x:f>"43113320844"</x:f>
        <x:v>43113320844</x:v>
      </x:c>
      <x:c r="E677" s="38" t="str">
        <x:f>""</x:f>
      </x:c>
      <x:c r="F677" s="38" t="str">
        <x:v>robertobarbour@gmail.com</x:v>
      </x:c>
      <x:c r="G677" s="39" t="n">
        <x:v>46178</x:v>
      </x:c>
      <x:c r="H677" s="16" t="str">
        <x:v>06/2026</x:v>
      </x:c>
      <x:c r="I677" s="40" t="n">
        <x:v>979.78</x:v>
      </x:c>
      <x:c r="J677" s="40" t="n">
        <x:v>1019.37</x:v>
      </x:c>
      <x:c r="K677" s="16" t="str">
        <x:v>Novo</x:v>
      </x:c>
      <x:c r="L677" s="16" t="str">
        <x:v>Em aberto</x:v>
      </x:c>
      <x:c r="M677" s="16" t="str">
        <x:v>427f40f9-fa94-4222-9bb5-4d5aca1b0d1b</x:v>
      </x:c>
      <x:c r="N677" s="41" t="str"/>
    </x:row>
    <x:row r="678">
      <x:c r="A678" s="37" t="str">
        <x:f>"000411"</x:f>
        <x:v>000411</x:v>
      </x:c>
      <x:c r="B678" s="38" t="str">
        <x:f>"0"</x:f>
        <x:v>0</x:v>
      </x:c>
      <x:c r="C678" s="38" t="str">
        <x:v>MARYSOL EMPREENDIMENTOS E PARTICIPA - A/C: JOSE ROBERTO BARBOUR</x:v>
      </x:c>
      <x:c r="D678" s="38" t="str">
        <x:f>"05766988000118"</x:f>
        <x:v>05766988000118</x:v>
      </x:c>
      <x:c r="E678" s="38" t="str">
        <x:f>""</x:f>
      </x:c>
      <x:c r="F678" s="38" t="str">
        <x:v>robertobarbour@gmail.com</x:v>
      </x:c>
      <x:c r="G678" s="39" t="n">
        <x:v>46027</x:v>
      </x:c>
      <x:c r="H678" s="16" t="str">
        <x:v>01/2026</x:v>
      </x:c>
      <x:c r="I678" s="40" t="n">
        <x:v>999.76</x:v>
      </x:c>
      <x:c r="J678" s="40" t="n">
        <x:v>1132.69</x:v>
      </x:c>
      <x:c r="K678" s="16" t="str">
        <x:v>Novo</x:v>
      </x:c>
      <x:c r="L678" s="16" t="str">
        <x:v>Em aberto</x:v>
      </x:c>
      <x:c r="M678" s="16" t="str">
        <x:v>d00b076e-3b28-4329-9b1e-c4dbe5701347</x:v>
      </x:c>
      <x:c r="N678" s="41" t="str"/>
    </x:row>
    <x:row r="679">
      <x:c r="A679" s="37" t="str">
        <x:f>"000411"</x:f>
        <x:v>000411</x:v>
      </x:c>
      <x:c r="B679" s="38" t="str">
        <x:f>"0"</x:f>
        <x:v>0</x:v>
      </x:c>
      <x:c r="C679" s="38" t="str">
        <x:v>MARYSOL EMPREENDIMENTOS E PARTICIPA - A/C: JOSE ROBERTO BARBOUR</x:v>
      </x:c>
      <x:c r="D679" s="38" t="str">
        <x:f>"05766988000118"</x:f>
        <x:v>05766988000118</x:v>
      </x:c>
      <x:c r="E679" s="38" t="str">
        <x:f>""</x:f>
      </x:c>
      <x:c r="F679" s="38" t="str">
        <x:v>robertobarbour@gmail.com</x:v>
      </x:c>
      <x:c r="G679" s="39" t="n">
        <x:v>46058</x:v>
      </x:c>
      <x:c r="H679" s="16" t="str">
        <x:v>02/2026</x:v>
      </x:c>
      <x:c r="I679" s="40" t="n">
        <x:v>979.78</x:v>
      </x:c>
      <x:c r="J679" s="40" t="n">
        <x:v>1097.5</x:v>
      </x:c>
      <x:c r="K679" s="16" t="str">
        <x:v>Novo</x:v>
      </x:c>
      <x:c r="L679" s="16" t="str">
        <x:v>Em aberto</x:v>
      </x:c>
      <x:c r="M679" s="16" t="str">
        <x:v>50931751-a76d-4e95-96fb-1bf2eab39e02</x:v>
      </x:c>
      <x:c r="N679" s="41" t="str"/>
    </x:row>
    <x:row r="680">
      <x:c r="A680" s="37" t="str">
        <x:f>"000411"</x:f>
        <x:v>000411</x:v>
      </x:c>
      <x:c r="B680" s="38" t="str">
        <x:f>"0"</x:f>
        <x:v>0</x:v>
      </x:c>
      <x:c r="C680" s="38" t="str">
        <x:v>MARYSOL EMPREENDIMENTOS E PARTICIPA - A/C: JOSE ROBERTO BARBOUR</x:v>
      </x:c>
      <x:c r="D680" s="38" t="str">
        <x:f>"05766988000118"</x:f>
        <x:v>05766988000118</x:v>
      </x:c>
      <x:c r="E680" s="38" t="str">
        <x:f>""</x:f>
      </x:c>
      <x:c r="F680" s="38" t="str">
        <x:v>robertobarbour@gmail.com</x:v>
      </x:c>
      <x:c r="G680" s="39" t="n">
        <x:v>46086</x:v>
      </x:c>
      <x:c r="H680" s="16" t="str">
        <x:v>03/2026</x:v>
      </x:c>
      <x:c r="I680" s="40" t="n">
        <x:v>979.78</x:v>
      </x:c>
      <x:c r="J680" s="40" t="n">
        <x:v>1096.35</x:v>
      </x:c>
      <x:c r="K680" s="16" t="str">
        <x:v>Novo</x:v>
      </x:c>
      <x:c r="L680" s="16" t="str">
        <x:v>Em aberto</x:v>
      </x:c>
      <x:c r="M680" s="16" t="str">
        <x:v>ce5c17c4-7dd8-46fc-bbcf-a21f1265e398</x:v>
      </x:c>
      <x:c r="N680" s="41" t="str"/>
    </x:row>
    <x:row r="681">
      <x:c r="A681" s="37" t="str">
        <x:f>"000411"</x:f>
        <x:v>000411</x:v>
      </x:c>
      <x:c r="B681" s="38" t="str">
        <x:f>"0"</x:f>
        <x:v>0</x:v>
      </x:c>
      <x:c r="C681" s="38" t="str">
        <x:v>MARYSOL EMPREENDIMENTOS E PARTICIPA - A/C: JOSE ROBERTO BARBOUR</x:v>
      </x:c>
      <x:c r="D681" s="38" t="str">
        <x:f>"05766988000118"</x:f>
        <x:v>05766988000118</x:v>
      </x:c>
      <x:c r="E681" s="38" t="str">
        <x:f>""</x:f>
      </x:c>
      <x:c r="F681" s="38" t="str">
        <x:v>robertobarbour@gmail.com</x:v>
      </x:c>
      <x:c r="G681" s="39" t="n">
        <x:v>46117</x:v>
      </x:c>
      <x:c r="H681" s="16" t="str">
        <x:v>04/2026</x:v>
      </x:c>
      <x:c r="I681" s="40" t="n">
        <x:v>979.78</x:v>
      </x:c>
      <x:c r="J681" s="40" t="n">
        <x:v>1073.65</x:v>
      </x:c>
      <x:c r="K681" s="16" t="str">
        <x:v>Novo</x:v>
      </x:c>
      <x:c r="L681" s="16" t="str">
        <x:v>Em aberto</x:v>
      </x:c>
      <x:c r="M681" s="16" t="str">
        <x:v>6f1effc8-62d6-4c0d-86ea-5ddf23c43c84</x:v>
      </x:c>
      <x:c r="N681" s="41" t="str"/>
    </x:row>
    <x:row r="682">
      <x:c r="A682" s="37" t="str">
        <x:f>"000411"</x:f>
        <x:v>000411</x:v>
      </x:c>
      <x:c r="B682" s="38" t="str">
        <x:f>"0"</x:f>
        <x:v>0</x:v>
      </x:c>
      <x:c r="C682" s="38" t="str">
        <x:v>MARYSOL EMPREENDIMENTOS E PARTICIPA - A/C: JOSE ROBERTO BARBOUR</x:v>
      </x:c>
      <x:c r="D682" s="38" t="str">
        <x:f>"05766988000118"</x:f>
        <x:v>05766988000118</x:v>
      </x:c>
      <x:c r="E682" s="38" t="str">
        <x:f>""</x:f>
      </x:c>
      <x:c r="F682" s="38" t="str">
        <x:v>robertobarbour@gmail.com</x:v>
      </x:c>
      <x:c r="G682" s="39" t="n">
        <x:v>46147</x:v>
      </x:c>
      <x:c r="H682" s="16" t="str">
        <x:v>05/2026</x:v>
      </x:c>
      <x:c r="I682" s="40" t="n">
        <x:v>979.78</x:v>
      </x:c>
      <x:c r="J682" s="40" t="n">
        <x:v>1038.32</x:v>
      </x:c>
      <x:c r="K682" s="16" t="str">
        <x:v>Novo</x:v>
      </x:c>
      <x:c r="L682" s="16" t="str">
        <x:v>Em aberto</x:v>
      </x:c>
      <x:c r="M682" s="16" t="str">
        <x:v>0adcc739-0a17-40e3-8d90-9ab0d2c43bc6</x:v>
      </x:c>
      <x:c r="N682" s="41" t="str"/>
    </x:row>
    <x:row r="683">
      <x:c r="A683" s="37" t="str">
        <x:f>"000411"</x:f>
        <x:v>000411</x:v>
      </x:c>
      <x:c r="B683" s="38" t="str">
        <x:f>"0"</x:f>
        <x:v>0</x:v>
      </x:c>
      <x:c r="C683" s="38" t="str">
        <x:v>MARYSOL EMPREENDIMENTOS E PARTICIPA - A/C: JOSE ROBERTO BARBOUR</x:v>
      </x:c>
      <x:c r="D683" s="38" t="str">
        <x:f>"05766988000118"</x:f>
        <x:v>05766988000118</x:v>
      </x:c>
      <x:c r="E683" s="38" t="str">
        <x:f>""</x:f>
      </x:c>
      <x:c r="F683" s="38" t="str">
        <x:v>robertobarbour@gmail.com</x:v>
      </x:c>
      <x:c r="G683" s="39" t="n">
        <x:v>46178</x:v>
      </x:c>
      <x:c r="H683" s="16" t="str">
        <x:v>06/2026</x:v>
      </x:c>
      <x:c r="I683" s="40" t="n">
        <x:v>979.78</x:v>
      </x:c>
      <x:c r="J683" s="40" t="n">
        <x:v>1019.37</x:v>
      </x:c>
      <x:c r="K683" s="16" t="str">
        <x:v>Novo</x:v>
      </x:c>
      <x:c r="L683" s="16" t="str">
        <x:v>Em aberto</x:v>
      </x:c>
      <x:c r="M683" s="16" t="str">
        <x:v>9ab4f91e-3a17-4ac8-8408-950a0e057732</x:v>
      </x:c>
      <x:c r="N683" s="41" t="str"/>
    </x:row>
    <x:row r="684">
      <x:c r="A684" s="37" t="str">
        <x:f>"001109"</x:f>
        <x:v>001109</x:v>
      </x:c>
      <x:c r="B684" s="38" t="str">
        <x:f>"0"</x:f>
        <x:v>0</x:v>
      </x:c>
      <x:c r="C684" s="38" t="str">
        <x:v>SERGIO GHIRELLI</x:v>
      </x:c>
      <x:c r="D684" s="38" t="str">
        <x:f>"80694110825"</x:f>
        <x:v>80694110825</x:v>
      </x:c>
      <x:c r="E684" s="38" t="str">
        <x:f>"1131863401"</x:f>
        <x:v>1131863401</x:v>
      </x:c>
      <x:c r="F684" s="38" t="str">
        <x:v>angelica.jardim@mynarski.com</x:v>
      </x:c>
      <x:c r="G684" s="39" t="n">
        <x:v>46178</x:v>
      </x:c>
      <x:c r="H684" s="16" t="str">
        <x:v>06/2026</x:v>
      </x:c>
      <x:c r="I684" s="40" t="n">
        <x:v>1121.16</x:v>
      </x:c>
      <x:c r="J684" s="40" t="n">
        <x:v>1166.45</x:v>
      </x:c>
      <x:c r="K684" s="16" t="str">
        <x:v>Novo</x:v>
      </x:c>
      <x:c r="L684" s="16" t="str">
        <x:v>Em aberto</x:v>
      </x:c>
      <x:c r="M684" s="16" t="str">
        <x:v>c073e955-c55c-43b1-83b0-a22e6ac4399a</x:v>
      </x:c>
      <x:c r="N684" s="41" t="str"/>
    </x:row>
    <x:row r="685">
      <x:c r="A685" s="37" t="str">
        <x:f>"001116"</x:f>
        <x:v>001116</x:v>
      </x:c>
      <x:c r="B685" s="38" t="str">
        <x:f>"0"</x:f>
        <x:v>0</x:v>
      </x:c>
      <x:c r="C685" s="38" t="str">
        <x:v>JOSE LUIZ NASCIMENTO - A/C: DRA PATRICIA</x:v>
      </x:c>
      <x:c r="D685" s="38" t="str">
        <x:f>""</x:f>
      </x:c>
      <x:c r="E685" s="38" t="str">
        <x:f>""</x:f>
      </x:c>
      <x:c r="F685" s="38" t="str">
        <x:v>caixinha31@hotmail.com</x:v>
      </x:c>
      <x:c r="G685" s="39" t="n">
        <x:v>46178</x:v>
      </x:c>
      <x:c r="H685" s="16" t="str">
        <x:v>06/2026</x:v>
      </x:c>
      <x:c r="I685" s="40" t="n">
        <x:v>909.21</x:v>
      </x:c>
      <x:c r="J685" s="40" t="n">
        <x:v>945.93</x:v>
      </x:c>
      <x:c r="K685" s="16" t="str">
        <x:v>Novo</x:v>
      </x:c>
      <x:c r="L685" s="16" t="str">
        <x:v>Em aberto</x:v>
      </x:c>
      <x:c r="M685" s="16" t="str">
        <x:v>1933f330-5cbc-4b3e-82ff-9e05e46044c8</x:v>
      </x:c>
      <x:c r="N685" s="41" t="str"/>
    </x:row>
    <x:row r="686">
      <x:c r="A686" s="37" t="str">
        <x:f>"001309"</x:f>
        <x:v>001309</x:v>
      </x:c>
      <x:c r="B686" s="38" t="str">
        <x:f>"0"</x:f>
        <x:v>0</x:v>
      </x:c>
      <x:c r="C686" s="38" t="str">
        <x:v>DNTK CONSULTORIA EMPRESARIAL LTDA</x:v>
      </x:c>
      <x:c r="D686" s="38" t="str">
        <x:f>"08144714000185"</x:f>
        <x:v>08144714000185</x:v>
      </x:c>
      <x:c r="E686" s="38" t="str">
        <x:f>"1935356724"</x:f>
        <x:v>1935356724</x:v>
      </x:c>
      <x:c r="F686" s="38" t="str">
        <x:v>swami@sfernandes.adm.br</x:v>
      </x:c>
      <x:c r="G686" s="39" t="n">
        <x:v>46147</x:v>
      </x:c>
      <x:c r="H686" s="16" t="str">
        <x:v>05/2026</x:v>
      </x:c>
      <x:c r="I686" s="40" t="n">
        <x:v>1121.16</x:v>
      </x:c>
      <x:c r="J686" s="40" t="n">
        <x:v>1188.13</x:v>
      </x:c>
      <x:c r="K686" s="16" t="str">
        <x:v>Novo</x:v>
      </x:c>
      <x:c r="L686" s="16" t="str">
        <x:v>Em aberto</x:v>
      </x:c>
      <x:c r="M686" s="16" t="str">
        <x:v>fc9a8f7a-a61b-4375-92a7-636be5e3fd87</x:v>
      </x:c>
      <x:c r="N686" s="41" t="str"/>
    </x:row>
    <x:row r="687">
      <x:c r="A687" s="42" t="str">
        <x:f>"001309"</x:f>
        <x:v>001309</x:v>
      </x:c>
      <x:c r="B687" s="43" t="str">
        <x:f>"0"</x:f>
        <x:v>0</x:v>
      </x:c>
      <x:c r="C687" s="43" t="str">
        <x:v>DNTK CONSULTORIA EMPRESARIAL LTDA</x:v>
      </x:c>
      <x:c r="D687" s="43" t="str">
        <x:f>"08144714000185"</x:f>
        <x:v>08144714000185</x:v>
      </x:c>
      <x:c r="E687" s="43" t="str">
        <x:f>"1935356724"</x:f>
        <x:v>1935356724</x:v>
      </x:c>
      <x:c r="F687" s="43" t="str">
        <x:v>swami@sfernandes.adm.br</x:v>
      </x:c>
      <x:c r="G687" s="44" t="n">
        <x:v>46178</x:v>
      </x:c>
      <x:c r="H687" s="20" t="str">
        <x:v>06/2026</x:v>
      </x:c>
      <x:c r="I687" s="45" t="n">
        <x:v>1121.16</x:v>
      </x:c>
      <x:c r="J687" s="45" t="n">
        <x:v>1166.45</x:v>
      </x:c>
      <x:c r="K687" s="20" t="str">
        <x:v>Novo</x:v>
      </x:c>
      <x:c r="L687" s="20" t="str">
        <x:v>Em aberto</x:v>
      </x:c>
      <x:c r="M687" s="20" t="str">
        <x:v>6e9c396c-6307-4ea5-8a02-c6af0af70524</x:v>
      </x:c>
      <x:c r="N687" s="46" t="str"/>
    </x:row>
    <x:row r="688">
      <x:c r="A688" s="47" t="str">
        <x:v>Subtotal</x:v>
      </x:c>
      <x:c r="B688" s="47" t="str"/>
      <x:c r="C688" s="47" t="str"/>
      <x:c r="D688" s="47" t="str"/>
      <x:c r="E688" s="47" t="str"/>
      <x:c r="F688" s="47" t="str"/>
      <x:c r="G688" s="47" t="str"/>
      <x:c r="H688" s="47" t="str"/>
      <x:c r="I688" s="47" t="str"/>
      <x:c r="J688" s="48" t="n">
        <x:v>17382.72</x:v>
      </x:c>
      <x:c r="K688" s="47" t="str">
        <x:v>16 novas</x:v>
      </x:c>
      <x:c r="L688" s="47" t="str">
        <x:v>0 ativas</x:v>
      </x:c>
      <x:c r="M688" s="47" t="str"/>
      <x:c r="N688" s="47" t="str"/>
    </x:row>
    <x:row r="690">
      <x:c r="A690" s="26" t="str">
        <x:v>CONDOMÍNIO EDIFÍCIO LARA</x:v>
      </x:c>
      <x:c r="B690" s="26"/>
      <x:c r="C690" s="26"/>
      <x:c r="D690" s="26"/>
      <x:c r="E690" s="26"/>
      <x:c r="F690" s="26"/>
      <x:c r="G690" s="26"/>
      <x:c r="H690" s="26"/>
      <x:c r="I690" s="26"/>
      <x:c r="J690" s="26"/>
      <x:c r="K690" s="26"/>
      <x:c r="L690" s="26"/>
      <x:c r="M690" s="26"/>
      <x:c r="N690" s="26"/>
    </x:row>
    <x:row r="691">
      <x:c r="A691" s="28" t="str">
        <x:v>CNPJ</x:v>
      </x:c>
      <x:c r="B691" s="28" t="str">
        <x:v>03.820.163/0001-09</x:v>
      </x:c>
      <x:c r="C691" s="28"/>
      <x:c r="D691" s="28" t="str">
        <x:v>Dia de vencimento</x:v>
      </x:c>
      <x:c r="E691" s="28" t="n">
        <x:v>10</x:v>
      </x:c>
      <x:c r="F691" s="28" t="str">
        <x:v>Régua</x:v>
      </x:c>
      <x:c r="G691" s="28" t="str">
        <x:v>D+60 · pré-jurídico em D+90</x:v>
      </x:c>
      <x:c r="H691" s="28"/>
      <x:c r="I691" s="28"/>
      <x:c r="J691" s="28"/>
      <x:c r="K691" s="28"/>
      <x:c r="L691" s="28"/>
      <x:c r="M691" s="28"/>
      <x:c r="N691" s="28"/>
    </x:row>
    <x:row r="692">
      <x:c r="A692" s="9" t="str">
        <x:v>Unidade</x:v>
      </x:c>
      <x:c r="B692" s="9" t="str">
        <x:v>Bloco</x:v>
      </x:c>
      <x:c r="C692" s="9" t="str">
        <x:v>Responsável</x:v>
      </x:c>
      <x:c r="D692" s="9" t="str">
        <x:v>Documento</x:v>
      </x:c>
      <x:c r="E692" s="9" t="str">
        <x:v>Telefone</x:v>
      </x:c>
      <x:c r="F692" s="9" t="str">
        <x:v>E-mail</x:v>
      </x:c>
      <x:c r="G692" s="9" t="str">
        <x:v>Vencimento</x:v>
      </x:c>
      <x:c r="H692" s="9" t="str">
        <x:v>Competência</x:v>
      </x:c>
      <x:c r="I692" s="9" t="str">
        <x:v>Valor original</x:v>
      </x:c>
      <x:c r="J692" s="9" t="str">
        <x:v>Valor atualizado</x:v>
      </x:c>
      <x:c r="K692" s="9" t="str">
        <x:v>Status operacional</x:v>
      </x:c>
      <x:c r="L692" s="9" t="str">
        <x:v>Status financeiro</x:v>
      </x:c>
      <x:c r="M692" s="9" t="str">
        <x:v>ID cobrança</x:v>
      </x:c>
      <x:c r="N692" s="9" t="str">
        <x:v>Observação</x:v>
      </x:c>
    </x:row>
    <x:row r="693">
      <x:c r="A693" s="31" t="str">
        <x:f>"000012"</x:f>
        <x:v>000012</x:v>
      </x:c>
      <x:c r="B693" s="32" t="str">
        <x:f>"0"</x:f>
        <x:v>0</x:v>
      </x:c>
      <x:c r="C693" s="32" t="str">
        <x:v>CAFERI EMPREENDIMENTOS IMOB. LTDA</x:v>
      </x:c>
      <x:c r="D693" s="32" t="str">
        <x:f>""</x:f>
      </x:c>
      <x:c r="E693" s="32" t="str">
        <x:f>""</x:f>
      </x:c>
      <x:c r="F693" s="32" t="str"/>
      <x:c r="G693" s="33" t="n">
        <x:v>46149</x:v>
      </x:c>
      <x:c r="H693" s="34" t="str">
        <x:v>05/2026</x:v>
      </x:c>
      <x:c r="I693" s="35" t="n">
        <x:v>1800.68</x:v>
      </x:c>
      <x:c r="J693" s="35" t="n">
        <x:v>1906.74</x:v>
      </x:c>
      <x:c r="K693" s="34" t="str">
        <x:v>Novo</x:v>
      </x:c>
      <x:c r="L693" s="34" t="str">
        <x:v>Em aberto</x:v>
      </x:c>
      <x:c r="M693" s="34" t="str">
        <x:v>bab19b53-6a34-42cf-b651-1b70a7fee767</x:v>
      </x:c>
      <x:c r="N693" s="36" t="str"/>
    </x:row>
    <x:row r="694">
      <x:c r="A694" s="37" t="str">
        <x:f>"000012"</x:f>
        <x:v>000012</x:v>
      </x:c>
      <x:c r="B694" s="38" t="str">
        <x:f>"0"</x:f>
        <x:v>0</x:v>
      </x:c>
      <x:c r="C694" s="38" t="str">
        <x:v>CAFERI EMPREENDIMENTOS IMOB. LTDA</x:v>
      </x:c>
      <x:c r="D694" s="38" t="str">
        <x:f>""</x:f>
      </x:c>
      <x:c r="E694" s="38" t="str">
        <x:f>""</x:f>
      </x:c>
      <x:c r="F694" s="38" t="str"/>
      <x:c r="G694" s="39" t="n">
        <x:v>46180</x:v>
      </x:c>
      <x:c r="H694" s="16" t="str">
        <x:v>06/2026</x:v>
      </x:c>
      <x:c r="I694" s="40" t="n">
        <x:v>1781.55</x:v>
      </x:c>
      <x:c r="J694" s="40" t="n">
        <x:v>1856.12</x:v>
      </x:c>
      <x:c r="K694" s="16" t="str">
        <x:v>Novo</x:v>
      </x:c>
      <x:c r="L694" s="16" t="str">
        <x:v>Em aberto</x:v>
      </x:c>
      <x:c r="M694" s="16" t="str">
        <x:v>265a037a-2f16-482b-bd7a-c27aa49d7d22</x:v>
      </x:c>
      <x:c r="N694" s="41" t="str"/>
    </x:row>
    <x:row r="695">
      <x:c r="A695" s="37" t="str">
        <x:f>"000111"</x:f>
        <x:v>000111</x:v>
      </x:c>
      <x:c r="B695" s="38" t="str">
        <x:f>"0"</x:f>
        <x:v>0</x:v>
      </x:c>
      <x:c r="C695" s="38" t="str">
        <x:v>DIVA IONE S. DA SILVEIRA</x:v>
      </x:c>
      <x:c r="D695" s="38" t="str">
        <x:f>""</x:f>
      </x:c>
      <x:c r="E695" s="38" t="str">
        <x:f>""</x:f>
      </x:c>
      <x:c r="F695" s="38" t="str"/>
      <x:c r="G695" s="39" t="n">
        <x:v>46060</x:v>
      </x:c>
      <x:c r="H695" s="16" t="str">
        <x:v>02/2026</x:v>
      </x:c>
      <x:c r="I695" s="40" t="n">
        <x:v>1450.26</x:v>
      </x:c>
      <x:c r="J695" s="40" t="n">
        <x:v>1616.73</x:v>
      </x:c>
      <x:c r="K695" s="16" t="str">
        <x:v>Novo</x:v>
      </x:c>
      <x:c r="L695" s="16" t="str">
        <x:v>Em aberto</x:v>
      </x:c>
      <x:c r="M695" s="16" t="str">
        <x:v>f4e2295b-a721-4a89-b748-ab5b1a8a2160</x:v>
      </x:c>
      <x:c r="N695" s="41" t="str"/>
    </x:row>
    <x:row r="696">
      <x:c r="A696" s="37" t="str">
        <x:f>"000111"</x:f>
        <x:v>000111</x:v>
      </x:c>
      <x:c r="B696" s="38" t="str">
        <x:f>"0"</x:f>
        <x:v>0</x:v>
      </x:c>
      <x:c r="C696" s="38" t="str">
        <x:v>DIVA IONE S. DA SILVEIRA</x:v>
      </x:c>
      <x:c r="D696" s="38" t="str">
        <x:f>""</x:f>
      </x:c>
      <x:c r="E696" s="38" t="str">
        <x:f>""</x:f>
      </x:c>
      <x:c r="F696" s="38" t="str"/>
      <x:c r="G696" s="39" t="n">
        <x:v>46088</x:v>
      </x:c>
      <x:c r="H696" s="16" t="str">
        <x:v>03/2026</x:v>
      </x:c>
      <x:c r="I696" s="40" t="n">
        <x:v>1499.46</x:v>
      </x:c>
      <x:c r="J696" s="40" t="n">
        <x:v>1646.58</x:v>
      </x:c>
      <x:c r="K696" s="16" t="str">
        <x:v>Novo</x:v>
      </x:c>
      <x:c r="L696" s="16" t="str">
        <x:v>Em aberto</x:v>
      </x:c>
      <x:c r="M696" s="16" t="str">
        <x:v>34a2c15d-b3a4-465e-834c-b8290e036ccb</x:v>
      </x:c>
      <x:c r="N696" s="41" t="str"/>
    </x:row>
    <x:row r="697">
      <x:c r="A697" s="37" t="str">
        <x:f>"000111"</x:f>
        <x:v>000111</x:v>
      </x:c>
      <x:c r="B697" s="38" t="str">
        <x:f>"0"</x:f>
        <x:v>0</x:v>
      </x:c>
      <x:c r="C697" s="38" t="str">
        <x:v>DIVA IONE S. DA SILVEIRA</x:v>
      </x:c>
      <x:c r="D697" s="38" t="str">
        <x:f>""</x:f>
      </x:c>
      <x:c r="E697" s="38" t="str">
        <x:f>""</x:f>
      </x:c>
      <x:c r="F697" s="38" t="str"/>
      <x:c r="G697" s="39" t="n">
        <x:v>46119</x:v>
      </x:c>
      <x:c r="H697" s="16" t="str">
        <x:v>04/2026</x:v>
      </x:c>
      <x:c r="I697" s="40" t="n">
        <x:v>1404.85</x:v>
      </x:c>
      <x:c r="J697" s="40" t="n">
        <x:v>1514.21</x:v>
      </x:c>
      <x:c r="K697" s="16" t="str">
        <x:v>Novo</x:v>
      </x:c>
      <x:c r="L697" s="16" t="str">
        <x:v>Em aberto</x:v>
      </x:c>
      <x:c r="M697" s="16" t="str">
        <x:v>3ef92438-dbbf-40e4-b7b6-e559db8e2234</x:v>
      </x:c>
      <x:c r="N697" s="41" t="str"/>
    </x:row>
    <x:row r="698">
      <x:c r="A698" s="37" t="str">
        <x:f>"000111"</x:f>
        <x:v>000111</x:v>
      </x:c>
      <x:c r="B698" s="38" t="str">
        <x:f>"0"</x:f>
        <x:v>0</x:v>
      </x:c>
      <x:c r="C698" s="38" t="str">
        <x:v>DIVA IONE S. DA SILVEIRA</x:v>
      </x:c>
      <x:c r="D698" s="38" t="str">
        <x:f>""</x:f>
      </x:c>
      <x:c r="E698" s="38" t="str">
        <x:f>""</x:f>
      </x:c>
      <x:c r="F698" s="38" t="str"/>
      <x:c r="G698" s="39" t="n">
        <x:v>46149</x:v>
      </x:c>
      <x:c r="H698" s="16" t="str">
        <x:v>05/2026</x:v>
      </x:c>
      <x:c r="I698" s="40" t="n">
        <x:v>1813.81</x:v>
      </x:c>
      <x:c r="J698" s="40" t="n">
        <x:v>1920.66</x:v>
      </x:c>
      <x:c r="K698" s="16" t="str">
        <x:v>Novo</x:v>
      </x:c>
      <x:c r="L698" s="16" t="str">
        <x:v>Em aberto</x:v>
      </x:c>
      <x:c r="M698" s="16" t="str">
        <x:v>385ca42c-9720-4efd-bf93-b7319d50b64a</x:v>
      </x:c>
      <x:c r="N698" s="41" t="str"/>
    </x:row>
    <x:row r="699">
      <x:c r="A699" s="42" t="str">
        <x:f>"000111"</x:f>
        <x:v>000111</x:v>
      </x:c>
      <x:c r="B699" s="43" t="str">
        <x:f>"0"</x:f>
        <x:v>0</x:v>
      </x:c>
      <x:c r="C699" s="43" t="str">
        <x:v>DIVA IONE S. DA SILVEIRA</x:v>
      </x:c>
      <x:c r="D699" s="43" t="str">
        <x:f>""</x:f>
      </x:c>
      <x:c r="E699" s="43" t="str">
        <x:f>""</x:f>
      </x:c>
      <x:c r="F699" s="43" t="str"/>
      <x:c r="G699" s="44" t="n">
        <x:v>46180</x:v>
      </x:c>
      <x:c r="H699" s="20" t="str">
        <x:v>06/2026</x:v>
      </x:c>
      <x:c r="I699" s="45" t="n">
        <x:v>1794.54</x:v>
      </x:c>
      <x:c r="J699" s="45" t="n">
        <x:v>1869.67</x:v>
      </x:c>
      <x:c r="K699" s="20" t="str">
        <x:v>Novo</x:v>
      </x:c>
      <x:c r="L699" s="20" t="str">
        <x:v>Em aberto</x:v>
      </x:c>
      <x:c r="M699" s="20" t="str">
        <x:v>e510c065-8657-4c93-82b0-1d7f4fc51ffc</x:v>
      </x:c>
      <x:c r="N699" s="46" t="str"/>
    </x:row>
    <x:row r="700">
      <x:c r="A700" s="47" t="str">
        <x:v>Subtotal</x:v>
      </x:c>
      <x:c r="B700" s="47" t="str"/>
      <x:c r="C700" s="47" t="str"/>
      <x:c r="D700" s="47" t="str"/>
      <x:c r="E700" s="47" t="str"/>
      <x:c r="F700" s="47" t="str"/>
      <x:c r="G700" s="47" t="str"/>
      <x:c r="H700" s="47" t="str"/>
      <x:c r="I700" s="47" t="str"/>
      <x:c r="J700" s="48" t="n">
        <x:v>12330.71</x:v>
      </x:c>
      <x:c r="K700" s="47" t="str">
        <x:v>7 novas</x:v>
      </x:c>
      <x:c r="L700" s="47" t="str">
        <x:v>0 ativas</x:v>
      </x:c>
      <x:c r="M700" s="47" t="str"/>
      <x:c r="N700" s="47" t="str"/>
    </x:row>
    <x:row r="702">
      <x:c r="A702" s="26" t="str">
        <x:v>CONDOMÍNIO EDIFÍCIO OASIS</x:v>
      </x:c>
      <x:c r="B702" s="26"/>
      <x:c r="C702" s="26"/>
      <x:c r="D702" s="26"/>
      <x:c r="E702" s="26"/>
      <x:c r="F702" s="26"/>
      <x:c r="G702" s="26"/>
      <x:c r="H702" s="26"/>
      <x:c r="I702" s="26"/>
      <x:c r="J702" s="26"/>
      <x:c r="K702" s="26"/>
      <x:c r="L702" s="26"/>
      <x:c r="M702" s="26"/>
      <x:c r="N702" s="26"/>
    </x:row>
    <x:row r="703">
      <x:c r="A703" s="28" t="str">
        <x:v>CNPJ</x:v>
      </x:c>
      <x:c r="B703" s="28" t="str">
        <x:v>10.933.934/0001-30</x:v>
      </x:c>
      <x:c r="C703" s="28"/>
      <x:c r="D703" s="28" t="str">
        <x:v>Dia de vencimento</x:v>
      </x:c>
      <x:c r="E703" s="28" t="n">
        <x:v>5</x:v>
      </x:c>
      <x:c r="F703" s="28" t="str">
        <x:v>Régua</x:v>
      </x:c>
      <x:c r="G703" s="28" t="str">
        <x:v>D+60 · pré-jurídico em D+90</x:v>
      </x:c>
      <x:c r="H703" s="28"/>
      <x:c r="I703" s="28"/>
      <x:c r="J703" s="28"/>
      <x:c r="K703" s="28"/>
      <x:c r="L703" s="28"/>
      <x:c r="M703" s="28"/>
      <x:c r="N703" s="28"/>
    </x:row>
    <x:row r="704">
      <x:c r="A704" s="9" t="str">
        <x:v>Unidade</x:v>
      </x:c>
      <x:c r="B704" s="9" t="str">
        <x:v>Bloco</x:v>
      </x:c>
      <x:c r="C704" s="9" t="str">
        <x:v>Responsável</x:v>
      </x:c>
      <x:c r="D704" s="9" t="str">
        <x:v>Documento</x:v>
      </x:c>
      <x:c r="E704" s="9" t="str">
        <x:v>Telefone</x:v>
      </x:c>
      <x:c r="F704" s="9" t="str">
        <x:v>E-mail</x:v>
      </x:c>
      <x:c r="G704" s="9" t="str">
        <x:v>Vencimento</x:v>
      </x:c>
      <x:c r="H704" s="9" t="str">
        <x:v>Competência</x:v>
      </x:c>
      <x:c r="I704" s="9" t="str">
        <x:v>Valor original</x:v>
      </x:c>
      <x:c r="J704" s="9" t="str">
        <x:v>Valor atualizado</x:v>
      </x:c>
      <x:c r="K704" s="9" t="str">
        <x:v>Status operacional</x:v>
      </x:c>
      <x:c r="L704" s="9" t="str">
        <x:v>Status financeiro</x:v>
      </x:c>
      <x:c r="M704" s="9" t="str">
        <x:v>ID cobrança</x:v>
      </x:c>
      <x:c r="N704" s="9" t="str">
        <x:v>Observação</x:v>
      </x:c>
    </x:row>
    <x:row r="705">
      <x:c r="A705" s="31" t="str">
        <x:f>"A00016"</x:f>
        <x:v>A00016</x:v>
      </x:c>
      <x:c r="B705" s="32" t="str">
        <x:f>"A"</x:f>
        <x:v>A</x:v>
      </x:c>
      <x:c r="C705" s="32" t="str">
        <x:v>DAVID PETERSON LORA</x:v>
      </x:c>
      <x:c r="D705" s="32" t="str">
        <x:f>"30688903819"</x:f>
        <x:v>30688903819</x:v>
      </x:c>
      <x:c r="E705" s="32" t="str">
        <x:f>""</x:f>
      </x:c>
      <x:c r="F705" s="32" t="str">
        <x:v>dplora@hotmail.com</x:v>
      </x:c>
      <x:c r="G705" s="33" t="n">
        <x:v>46178</x:v>
      </x:c>
      <x:c r="H705" s="34" t="str">
        <x:v>06/2026</x:v>
      </x:c>
      <x:c r="I705" s="35" t="n">
        <x:v>1172.1</x:v>
      </x:c>
      <x:c r="J705" s="35" t="n">
        <x:v>1219.44</x:v>
      </x:c>
      <x:c r="K705" s="34" t="str">
        <x:v>Novo</x:v>
      </x:c>
      <x:c r="L705" s="34" t="str">
        <x:v>Em aberto</x:v>
      </x:c>
      <x:c r="M705" s="34" t="str">
        <x:v>deb0396a-2572-4286-ad92-0ef0eddea401</x:v>
      </x:c>
      <x:c r="N705" s="36" t="str"/>
    </x:row>
    <x:row r="706">
      <x:c r="A706" s="37" t="str">
        <x:f>"B00046"</x:f>
        <x:v>B00046</x:v>
      </x:c>
      <x:c r="B706" s="38" t="str">
        <x:f>"B"</x:f>
        <x:v>B</x:v>
      </x:c>
      <x:c r="C706" s="38" t="str">
        <x:v>SANDRA HELENA DOS SANTOS</x:v>
      </x:c>
      <x:c r="D706" s="38" t="str">
        <x:f>"05785892812"</x:f>
        <x:v>05785892812</x:v>
      </x:c>
      <x:c r="E706" s="38" t="str">
        <x:f>"45034683"</x:f>
        <x:v>45034683</x:v>
      </x:c>
      <x:c r="F706" s="38" t="str">
        <x:v>shsantos16@hotmail.com</x:v>
      </x:c>
      <x:c r="G706" s="39" t="n">
        <x:v>46027</x:v>
      </x:c>
      <x:c r="H706" s="16" t="str">
        <x:v>01/2026</x:v>
      </x:c>
      <x:c r="I706" s="40" t="n">
        <x:v>858.59</x:v>
      </x:c>
      <x:c r="J706" s="40" t="n">
        <x:v>956.56</x:v>
      </x:c>
      <x:c r="K706" s="16" t="str">
        <x:v>Novo</x:v>
      </x:c>
      <x:c r="L706" s="16" t="str">
        <x:v>Em aberto</x:v>
      </x:c>
      <x:c r="M706" s="16" t="str">
        <x:v>3f2f9ae6-8c55-4f59-8db3-d9b9c674c731</x:v>
      </x:c>
      <x:c r="N706" s="41" t="str"/>
    </x:row>
    <x:row r="707">
      <x:c r="A707" s="37" t="str">
        <x:f>"B00046"</x:f>
        <x:v>B00046</x:v>
      </x:c>
      <x:c r="B707" s="38" t="str">
        <x:f>"B"</x:f>
        <x:v>B</x:v>
      </x:c>
      <x:c r="C707" s="38" t="str">
        <x:v>SANDRA HELENA DOS SANTOS</x:v>
      </x:c>
      <x:c r="D707" s="38" t="str">
        <x:f>"05785892812"</x:f>
        <x:v>05785892812</x:v>
      </x:c>
      <x:c r="E707" s="38" t="str">
        <x:f>"45034683"</x:f>
        <x:v>45034683</x:v>
      </x:c>
      <x:c r="F707" s="38" t="str">
        <x:v>shsantos16@hotmail.com</x:v>
      </x:c>
      <x:c r="G707" s="39" t="n">
        <x:v>46058</x:v>
      </x:c>
      <x:c r="H707" s="16" t="str">
        <x:v>02/2026</x:v>
      </x:c>
      <x:c r="I707" s="40" t="n">
        <x:v>864.23</x:v>
      </x:c>
      <x:c r="J707" s="40" t="n">
        <x:v>949.91</x:v>
      </x:c>
      <x:c r="K707" s="16" t="str">
        <x:v>Novo</x:v>
      </x:c>
      <x:c r="L707" s="16" t="str">
        <x:v>Em aberto</x:v>
      </x:c>
      <x:c r="M707" s="16" t="str">
        <x:v>8f249fea-51cb-4fc1-a09f-942fbdec27c8</x:v>
      </x:c>
      <x:c r="N707" s="41" t="str"/>
    </x:row>
    <x:row r="708">
      <x:c r="A708" s="37" t="str">
        <x:f>"B00046"</x:f>
        <x:v>B00046</x:v>
      </x:c>
      <x:c r="B708" s="38" t="str">
        <x:f>"B"</x:f>
        <x:v>B</x:v>
      </x:c>
      <x:c r="C708" s="38" t="str">
        <x:v>SANDRA HELENA DOS SANTOS</x:v>
      </x:c>
      <x:c r="D708" s="38" t="str">
        <x:f>"05785892812"</x:f>
        <x:v>05785892812</x:v>
      </x:c>
      <x:c r="E708" s="38" t="str">
        <x:f>"45034683"</x:f>
        <x:v>45034683</x:v>
      </x:c>
      <x:c r="F708" s="38" t="str">
        <x:v>shsantos16@hotmail.com</x:v>
      </x:c>
      <x:c r="G708" s="39" t="n">
        <x:v>46086</x:v>
      </x:c>
      <x:c r="H708" s="16" t="str">
        <x:v>03/2026</x:v>
      </x:c>
      <x:c r="I708" s="40" t="n">
        <x:v>854.05</x:v>
      </x:c>
      <x:c r="J708" s="40" t="n">
        <x:v>936.74</x:v>
      </x:c>
      <x:c r="K708" s="16" t="str">
        <x:v>Novo</x:v>
      </x:c>
      <x:c r="L708" s="16" t="str">
        <x:v>Em aberto</x:v>
      </x:c>
      <x:c r="M708" s="16" t="str">
        <x:v>b4ff877c-0635-4fd1-a933-29566023d3a4</x:v>
      </x:c>
      <x:c r="N708" s="41" t="str"/>
    </x:row>
    <x:row r="709">
      <x:c r="A709" s="37" t="str">
        <x:f>"B00046"</x:f>
        <x:v>B00046</x:v>
      </x:c>
      <x:c r="B709" s="38" t="str">
        <x:f>"B"</x:f>
        <x:v>B</x:v>
      </x:c>
      <x:c r="C709" s="38" t="str">
        <x:v>SANDRA HELENA DOS SANTOS</x:v>
      </x:c>
      <x:c r="D709" s="38" t="str">
        <x:f>"05785892812"</x:f>
        <x:v>05785892812</x:v>
      </x:c>
      <x:c r="E709" s="38" t="str">
        <x:f>"45034683"</x:f>
        <x:v>45034683</x:v>
      </x:c>
      <x:c r="F709" s="38" t="str">
        <x:v>shsantos16@hotmail.com</x:v>
      </x:c>
      <x:c r="G709" s="39" t="n">
        <x:v>46117</x:v>
      </x:c>
      <x:c r="H709" s="16" t="str">
        <x:v>04/2026</x:v>
      </x:c>
      <x:c r="I709" s="40" t="n">
        <x:v>852.7</x:v>
      </x:c>
      <x:c r="J709" s="40" t="n">
        <x:v>921.55</x:v>
      </x:c>
      <x:c r="K709" s="16" t="str">
        <x:v>Novo</x:v>
      </x:c>
      <x:c r="L709" s="16" t="str">
        <x:v>Em aberto</x:v>
      </x:c>
      <x:c r="M709" s="16" t="str">
        <x:v>39853392-628b-40cc-8d2f-d18572c24c3d</x:v>
      </x:c>
      <x:c r="N709" s="41" t="str"/>
    </x:row>
    <x:row r="710">
      <x:c r="A710" s="37" t="str">
        <x:f>"B00046"</x:f>
        <x:v>B00046</x:v>
      </x:c>
      <x:c r="B710" s="38" t="str">
        <x:f>"B"</x:f>
        <x:v>B</x:v>
      </x:c>
      <x:c r="C710" s="38" t="str">
        <x:v>SANDRA HELENA DOS SANTOS</x:v>
      </x:c>
      <x:c r="D710" s="38" t="str">
        <x:f>"05785892812"</x:f>
        <x:v>05785892812</x:v>
      </x:c>
      <x:c r="E710" s="38" t="str">
        <x:f>"45034683"</x:f>
        <x:v>45034683</x:v>
      </x:c>
      <x:c r="F710" s="38" t="str">
        <x:v>shsantos16@hotmail.com</x:v>
      </x:c>
      <x:c r="G710" s="39" t="n">
        <x:v>46147</x:v>
      </x:c>
      <x:c r="H710" s="16" t="str">
        <x:v>05/2026</x:v>
      </x:c>
      <x:c r="I710" s="40" t="n">
        <x:v>976.07</x:v>
      </x:c>
      <x:c r="J710" s="40" t="n">
        <x:v>1025.46</x:v>
      </x:c>
      <x:c r="K710" s="16" t="str">
        <x:v>Novo</x:v>
      </x:c>
      <x:c r="L710" s="16" t="str">
        <x:v>Em aberto</x:v>
      </x:c>
      <x:c r="M710" s="16" t="str">
        <x:v>fefaeda9-bf3e-419c-bd67-b55ec55d1891</x:v>
      </x:c>
      <x:c r="N710" s="41" t="str"/>
    </x:row>
    <x:row r="711">
      <x:c r="A711" s="37" t="str">
        <x:f>"B00046"</x:f>
        <x:v>B00046</x:v>
      </x:c>
      <x:c r="B711" s="38" t="str">
        <x:f>"B"</x:f>
        <x:v>B</x:v>
      </x:c>
      <x:c r="C711" s="38" t="str">
        <x:v>SANDRA HELENA DOS SANTOS</x:v>
      </x:c>
      <x:c r="D711" s="38" t="str">
        <x:f>"05785892812"</x:f>
        <x:v>05785892812</x:v>
      </x:c>
      <x:c r="E711" s="38" t="str">
        <x:f>"45034683"</x:f>
        <x:v>45034683</x:v>
      </x:c>
      <x:c r="F711" s="38" t="str">
        <x:v>shsantos16@hotmail.com</x:v>
      </x:c>
      <x:c r="G711" s="39" t="n">
        <x:v>46178</x:v>
      </x:c>
      <x:c r="H711" s="16" t="str">
        <x:v>06/2026</x:v>
      </x:c>
      <x:c r="I711" s="40" t="n">
        <x:v>969.74</x:v>
      </x:c>
      <x:c r="J711" s="40" t="n">
        <x:v>1008.9</x:v>
      </x:c>
      <x:c r="K711" s="16" t="str">
        <x:v>Novo</x:v>
      </x:c>
      <x:c r="L711" s="16" t="str">
        <x:v>Em aberto</x:v>
      </x:c>
      <x:c r="M711" s="16" t="str">
        <x:v>29f883d5-e4a7-4206-ae16-dcdbce08adf7</x:v>
      </x:c>
      <x:c r="N711" s="41" t="str"/>
    </x:row>
    <x:row r="712">
      <x:c r="A712" s="37" t="str">
        <x:f>"B00094"</x:f>
        <x:v>B00094</x:v>
      </x:c>
      <x:c r="B712" s="38" t="str">
        <x:f>"B"</x:f>
        <x:v>B</x:v>
      </x:c>
      <x:c r="C712" s="38" t="str">
        <x:v>ANA FLÁVIA MONTEIRO DE CARVALHO</x:v>
      </x:c>
      <x:c r="D712" s="38" t="str">
        <x:f>""</x:f>
      </x:c>
      <x:c r="E712" s="38" t="str">
        <x:f>""</x:f>
      </x:c>
      <x:c r="F712" s="38" t="str"/>
      <x:c r="G712" s="39" t="n">
        <x:v>46147</x:v>
      </x:c>
      <x:c r="H712" s="16" t="str">
        <x:v>05/2026</x:v>
      </x:c>
      <x:c r="I712" s="40" t="n">
        <x:v>359.68</x:v>
      </x:c>
      <x:c r="J712" s="40" t="n">
        <x:v>377.88</x:v>
      </x:c>
      <x:c r="K712" s="16" t="str">
        <x:v>Novo</x:v>
      </x:c>
      <x:c r="L712" s="16" t="str">
        <x:v>Em aberto</x:v>
      </x:c>
      <x:c r="M712" s="16" t="str">
        <x:v>523458b2-b5d6-4285-9de6-8fd911024b87</x:v>
      </x:c>
      <x:c r="N712" s="41" t="str"/>
    </x:row>
    <x:row r="713">
      <x:c r="A713" s="37" t="str">
        <x:f>"B00146"</x:f>
        <x:v>B00146</x:v>
      </x:c>
      <x:c r="B713" s="38" t="str">
        <x:f>"B"</x:f>
        <x:v>B</x:v>
      </x:c>
      <x:c r="C713" s="38" t="str">
        <x:v>RODRIGO PEREIRA RODRIGUES</x:v>
      </x:c>
      <x:c r="D713" s="38" t="str">
        <x:f>""</x:f>
      </x:c>
      <x:c r="E713" s="38" t="str">
        <x:f>""</x:f>
      </x:c>
      <x:c r="F713" s="38" t="str"/>
      <x:c r="G713" s="39" t="n">
        <x:v>46027</x:v>
      </x:c>
      <x:c r="H713" s="16" t="str">
        <x:v>01/2026</x:v>
      </x:c>
      <x:c r="I713" s="40" t="n">
        <x:v>904.28</x:v>
      </x:c>
      <x:c r="J713" s="40" t="n">
        <x:v>1007.47</x:v>
      </x:c>
      <x:c r="K713" s="16" t="str">
        <x:v>Novo</x:v>
      </x:c>
      <x:c r="L713" s="16" t="str">
        <x:v>Em aberto</x:v>
      </x:c>
      <x:c r="M713" s="16" t="str">
        <x:v>8862a85a-7495-422e-8a12-934e8f0249ea</x:v>
      </x:c>
      <x:c r="N713" s="41" t="str"/>
    </x:row>
    <x:row r="714">
      <x:c r="A714" s="37" t="str">
        <x:f>"C00036"</x:f>
        <x:v>C00036</x:v>
      </x:c>
      <x:c r="B714" s="38" t="str">
        <x:f>"C"</x:f>
        <x:v>C</x:v>
      </x:c>
      <x:c r="C714" s="38" t="str">
        <x:v>MARIA DO CARMO LIMA GRILLO</x:v>
      </x:c>
      <x:c r="D714" s="38" t="str">
        <x:f>""</x:f>
      </x:c>
      <x:c r="E714" s="38" t="str">
        <x:f>""</x:f>
      </x:c>
      <x:c r="F714" s="38" t="str"/>
      <x:c r="G714" s="39" t="n">
        <x:v>46058</x:v>
      </x:c>
      <x:c r="H714" s="16" t="str">
        <x:v>02/2026</x:v>
      </x:c>
      <x:c r="I714" s="40" t="n">
        <x:v>959.38</x:v>
      </x:c>
      <x:c r="J714" s="40" t="n">
        <x:v>1054.51</x:v>
      </x:c>
      <x:c r="K714" s="16" t="str">
        <x:v>Novo</x:v>
      </x:c>
      <x:c r="L714" s="16" t="str">
        <x:v>Em aberto</x:v>
      </x:c>
      <x:c r="M714" s="16" t="str">
        <x:v>ea133362-dfb1-49c6-b1d5-e09588971e23</x:v>
      </x:c>
      <x:c r="N714" s="41" t="str"/>
    </x:row>
    <x:row r="715">
      <x:c r="A715" s="37" t="str">
        <x:f>"C00081"</x:f>
        <x:v>C00081</x:v>
      </x:c>
      <x:c r="B715" s="38" t="str">
        <x:f>"C"</x:f>
        <x:v>C</x:v>
      </x:c>
      <x:c r="C715" s="38" t="str">
        <x:v>PATRICIA SIDRONEO TOLEDO</x:v>
      </x:c>
      <x:c r="D715" s="38" t="str">
        <x:f>"27328314842"</x:f>
        <x:v>27328314842</x:v>
      </x:c>
      <x:c r="E715" s="38" t="str">
        <x:f>"11983835947"</x:f>
        <x:v>11983835947</x:v>
      </x:c>
      <x:c r="F715" s="38" t="str">
        <x:v>paty_toledo@hotmail.com</x:v>
      </x:c>
      <x:c r="G715" s="39" t="n">
        <x:v>46086</x:v>
      </x:c>
      <x:c r="H715" s="16" t="str">
        <x:v>03/2026</x:v>
      </x:c>
      <x:c r="I715" s="40" t="n">
        <x:v>1007.46</x:v>
      </x:c>
      <x:c r="J715" s="40" t="n">
        <x:v>1105.01</x:v>
      </x:c>
      <x:c r="K715" s="16" t="str">
        <x:v>Novo</x:v>
      </x:c>
      <x:c r="L715" s="16" t="str">
        <x:v>Em aberto</x:v>
      </x:c>
      <x:c r="M715" s="16" t="str">
        <x:v>39ab677b-0893-4eb9-b204-ebf5c0b70a71</x:v>
      </x:c>
      <x:c r="N715" s="41" t="str"/>
    </x:row>
    <x:row r="716">
      <x:c r="A716" s="42" t="str">
        <x:f>"C00156"</x:f>
        <x:v>C00156</x:v>
      </x:c>
      <x:c r="B716" s="43" t="str">
        <x:f>"C"</x:f>
        <x:v>C</x:v>
      </x:c>
      <x:c r="C716" s="43" t="str">
        <x:v>RYAN SANTANA DOS SANTOS</x:v>
      </x:c>
      <x:c r="D716" s="43" t="str">
        <x:f>"50883999870"</x:f>
        <x:v>50883999870</x:v>
      </x:c>
      <x:c r="E716" s="43" t="str">
        <x:f>"11954674097"</x:f>
        <x:v>11954674097</x:v>
      </x:c>
      <x:c r="F716" s="43" t="str">
        <x:v>eliasjosecirilo04@gmail.com</x:v>
      </x:c>
      <x:c r="G716" s="44" t="n">
        <x:v>46178</x:v>
      </x:c>
      <x:c r="H716" s="20" t="str">
        <x:v>06/2026</x:v>
      </x:c>
      <x:c r="I716" s="45" t="n">
        <x:v>3006.07</x:v>
      </x:c>
      <x:c r="J716" s="45" t="n">
        <x:v>3127.5</x:v>
      </x:c>
      <x:c r="K716" s="20" t="str">
        <x:v>Novo</x:v>
      </x:c>
      <x:c r="L716" s="20" t="str">
        <x:v>Em aberto</x:v>
      </x:c>
      <x:c r="M716" s="20" t="str">
        <x:v>75a1324e-00f1-4ece-9cb4-9d052f1b54e8</x:v>
      </x:c>
      <x:c r="N716" s="46" t="str"/>
    </x:row>
    <x:row r="717">
      <x:c r="A717" s="47" t="str">
        <x:v>Subtotal</x:v>
      </x:c>
      <x:c r="B717" s="47" t="str"/>
      <x:c r="C717" s="47" t="str"/>
      <x:c r="D717" s="47" t="str"/>
      <x:c r="E717" s="47" t="str"/>
      <x:c r="F717" s="47" t="str"/>
      <x:c r="G717" s="47" t="str"/>
      <x:c r="H717" s="47" t="str"/>
      <x:c r="I717" s="47" t="str"/>
      <x:c r="J717" s="48" t="n">
        <x:v>13690.93</x:v>
      </x:c>
      <x:c r="K717" s="47" t="str">
        <x:v>12 novas</x:v>
      </x:c>
      <x:c r="L717" s="47" t="str">
        <x:v>0 ativas</x:v>
      </x:c>
      <x:c r="M717" s="47" t="str"/>
      <x:c r="N717" s="47" t="str"/>
    </x:row>
    <x:row r="719">
      <x:c r="A719" s="26" t="str">
        <x:v>CONDOMINIO EDIFICIO SAO MANUEL</x:v>
      </x:c>
      <x:c r="B719" s="26"/>
      <x:c r="C719" s="26"/>
      <x:c r="D719" s="26"/>
      <x:c r="E719" s="26"/>
      <x:c r="F719" s="26"/>
      <x:c r="G719" s="26"/>
      <x:c r="H719" s="26"/>
      <x:c r="I719" s="26"/>
      <x:c r="J719" s="26"/>
      <x:c r="K719" s="26"/>
      <x:c r="L719" s="26"/>
      <x:c r="M719" s="26"/>
      <x:c r="N719" s="26"/>
    </x:row>
    <x:row r="720">
      <x:c r="A720" s="28" t="str">
        <x:v>CNPJ</x:v>
      </x:c>
      <x:c r="B720" s="28" t="str">
        <x:v>03.811.371/0001-41</x:v>
      </x:c>
      <x:c r="C720" s="28"/>
      <x:c r="D720" s="28" t="str">
        <x:v>Dia de vencimento</x:v>
      </x:c>
      <x:c r="E720" s="28" t="n">
        <x:v>10</x:v>
      </x:c>
      <x:c r="F720" s="28" t="str">
        <x:v>Régua</x:v>
      </x:c>
      <x:c r="G720" s="28" t="str">
        <x:v>D+30 · pré-jurídico em D+60</x:v>
      </x:c>
      <x:c r="H720" s="28"/>
      <x:c r="I720" s="28"/>
      <x:c r="J720" s="28"/>
      <x:c r="K720" s="28"/>
      <x:c r="L720" s="28"/>
      <x:c r="M720" s="28"/>
      <x:c r="N720" s="28"/>
    </x:row>
    <x:row r="721">
      <x:c r="A721" s="9" t="str">
        <x:v>Unidade</x:v>
      </x:c>
      <x:c r="B721" s="9" t="str">
        <x:v>Bloco</x:v>
      </x:c>
      <x:c r="C721" s="9" t="str">
        <x:v>Responsável</x:v>
      </x:c>
      <x:c r="D721" s="9" t="str">
        <x:v>Documento</x:v>
      </x:c>
      <x:c r="E721" s="9" t="str">
        <x:v>Telefone</x:v>
      </x:c>
      <x:c r="F721" s="9" t="str">
        <x:v>E-mail</x:v>
      </x:c>
      <x:c r="G721" s="9" t="str">
        <x:v>Vencimento</x:v>
      </x:c>
      <x:c r="H721" s="9" t="str">
        <x:v>Competência</x:v>
      </x:c>
      <x:c r="I721" s="9" t="str">
        <x:v>Valor original</x:v>
      </x:c>
      <x:c r="J721" s="9" t="str">
        <x:v>Valor atualizado</x:v>
      </x:c>
      <x:c r="K721" s="9" t="str">
        <x:v>Status operacional</x:v>
      </x:c>
      <x:c r="L721" s="9" t="str">
        <x:v>Status financeiro</x:v>
      </x:c>
      <x:c r="M721" s="9" t="str">
        <x:v>ID cobrança</x:v>
      </x:c>
      <x:c r="N721" s="9" t="str">
        <x:v>Observação</x:v>
      </x:c>
    </x:row>
    <x:row r="722">
      <x:c r="A722" s="31" t="str">
        <x:f>"000035"</x:f>
        <x:v>000035</x:v>
      </x:c>
      <x:c r="B722" s="32" t="str">
        <x:f>"0"</x:f>
        <x:v>0</x:v>
      </x:c>
      <x:c r="C722" s="32" t="str">
        <x:v>ANAISNIN T. RIBEIRO NAKANO</x:v>
      </x:c>
      <x:c r="D722" s="32" t="str">
        <x:f>""</x:f>
      </x:c>
      <x:c r="E722" s="32" t="str">
        <x:f>""</x:f>
      </x:c>
      <x:c r="F722" s="32" t="str"/>
      <x:c r="G722" s="33" t="n">
        <x:v>46073</x:v>
      </x:c>
      <x:c r="H722" s="34" t="str">
        <x:v>02/2026</x:v>
      </x:c>
      <x:c r="I722" s="35" t="n">
        <x:v>308.53</x:v>
      </x:c>
      <x:c r="J722" s="35" t="n">
        <x:v>339.12</x:v>
      </x:c>
      <x:c r="K722" s="34" t="str">
        <x:v>Novo</x:v>
      </x:c>
      <x:c r="L722" s="34" t="str">
        <x:v>Em aberto</x:v>
      </x:c>
      <x:c r="M722" s="34" t="str">
        <x:v>7bdc8fec-c80e-42ec-8d66-c334043cf8ff</x:v>
      </x:c>
      <x:c r="N722" s="36" t="str"/>
    </x:row>
    <x:row r="723">
      <x:c r="A723" s="37" t="str">
        <x:f>"000035"</x:f>
        <x:v>000035</x:v>
      </x:c>
      <x:c r="B723" s="38" t="str">
        <x:f>"0"</x:f>
        <x:v>0</x:v>
      </x:c>
      <x:c r="C723" s="38" t="str">
        <x:v>ANAISNIN T. RIBEIRO NAKANO</x:v>
      </x:c>
      <x:c r="D723" s="38" t="str">
        <x:f>""</x:f>
      </x:c>
      <x:c r="E723" s="38" t="str">
        <x:f>""</x:f>
      </x:c>
      <x:c r="F723" s="38" t="str"/>
      <x:c r="G723" s="39" t="n">
        <x:v>46101</x:v>
      </x:c>
      <x:c r="H723" s="16" t="str">
        <x:v>03/2026</x:v>
      </x:c>
      <x:c r="I723" s="40" t="n">
        <x:v>265.38</x:v>
      </x:c>
      <x:c r="J723" s="40" t="n">
        <x:v>291.06</x:v>
      </x:c>
      <x:c r="K723" s="16" t="str">
        <x:v>Novo</x:v>
      </x:c>
      <x:c r="L723" s="16" t="str">
        <x:v>Em aberto</x:v>
      </x:c>
      <x:c r="M723" s="16" t="str">
        <x:v>7d234b30-1dd3-4852-bd11-8d32215f6088</x:v>
      </x:c>
      <x:c r="N723" s="41" t="str"/>
    </x:row>
    <x:row r="724">
      <x:c r="A724" s="37" t="str">
        <x:f>"000035"</x:f>
        <x:v>000035</x:v>
      </x:c>
      <x:c r="B724" s="38" t="str">
        <x:f>"0"</x:f>
        <x:v>0</x:v>
      </x:c>
      <x:c r="C724" s="38" t="str">
        <x:v>ANAISNIN T. RIBEIRO NAKANO</x:v>
      </x:c>
      <x:c r="D724" s="38" t="str">
        <x:f>""</x:f>
      </x:c>
      <x:c r="E724" s="38" t="str">
        <x:f>""</x:f>
      </x:c>
      <x:c r="F724" s="38" t="str"/>
      <x:c r="G724" s="39" t="n">
        <x:v>46132</x:v>
      </x:c>
      <x:c r="H724" s="16" t="str">
        <x:v>04/2026</x:v>
      </x:c>
      <x:c r="I724" s="40" t="n">
        <x:v>265.38</x:v>
      </x:c>
      <x:c r="J724" s="40" t="n">
        <x:v>286.81</x:v>
      </x:c>
      <x:c r="K724" s="16" t="str">
        <x:v>Novo</x:v>
      </x:c>
      <x:c r="L724" s="16" t="str">
        <x:v>Em aberto</x:v>
      </x:c>
      <x:c r="M724" s="16" t="str">
        <x:v>fc5f944b-67ba-40a7-99e0-4cf3a9432de4</x:v>
      </x:c>
      <x:c r="N724" s="41" t="str"/>
    </x:row>
    <x:row r="725">
      <x:c r="A725" s="37" t="str">
        <x:f>"000035"</x:f>
        <x:v>000035</x:v>
      </x:c>
      <x:c r="B725" s="38" t="str">
        <x:f>"0"</x:f>
        <x:v>0</x:v>
      </x:c>
      <x:c r="C725" s="38" t="str">
        <x:v>ANAISNIN T. RIBEIRO NAKANO</x:v>
      </x:c>
      <x:c r="D725" s="38" t="str">
        <x:f>""</x:f>
      </x:c>
      <x:c r="E725" s="38" t="str">
        <x:f>""</x:f>
      </x:c>
      <x:c r="F725" s="38" t="str"/>
      <x:c r="G725" s="39" t="n">
        <x:v>46162</x:v>
      </x:c>
      <x:c r="H725" s="16" t="str">
        <x:v>05/2026</x:v>
      </x:c>
      <x:c r="I725" s="40" t="n">
        <x:v>265.38</x:v>
      </x:c>
      <x:c r="J725" s="40" t="n">
        <x:v>278.81</x:v>
      </x:c>
      <x:c r="K725" s="16" t="str">
        <x:v>Novo</x:v>
      </x:c>
      <x:c r="L725" s="16" t="str">
        <x:v>Em aberto</x:v>
      </x:c>
      <x:c r="M725" s="16" t="str">
        <x:v>a178045b-14ad-4581-884d-2c5a978e2e83</x:v>
      </x:c>
      <x:c r="N725" s="41" t="str"/>
    </x:row>
    <x:row r="726">
      <x:c r="A726" s="37" t="str">
        <x:f>"000035"</x:f>
        <x:v>000035</x:v>
      </x:c>
      <x:c r="B726" s="38" t="str">
        <x:f>"0"</x:f>
        <x:v>0</x:v>
      </x:c>
      <x:c r="C726" s="38" t="str">
        <x:v>ANAISNIN T. RIBEIRO NAKANO</x:v>
      </x:c>
      <x:c r="D726" s="38" t="str">
        <x:f>""</x:f>
      </x:c>
      <x:c r="E726" s="38" t="str">
        <x:f>""</x:f>
      </x:c>
      <x:c r="F726" s="38" t="str"/>
      <x:c r="G726" s="39" t="n">
        <x:v>46193</x:v>
      </x:c>
      <x:c r="H726" s="16" t="str">
        <x:v>06/2026</x:v>
      </x:c>
      <x:c r="I726" s="40" t="n">
        <x:v>265.38</x:v>
      </x:c>
      <x:c r="J726" s="40" t="n">
        <x:v>276.1</x:v>
      </x:c>
      <x:c r="K726" s="16" t="str">
        <x:v>Novo</x:v>
      </x:c>
      <x:c r="L726" s="16" t="str">
        <x:v>Em aberto</x:v>
      </x:c>
      <x:c r="M726" s="16" t="str">
        <x:v>afe0a0bf-172b-4a8a-b088-3f764a612840</x:v>
      </x:c>
      <x:c r="N726" s="41" t="str"/>
    </x:row>
    <x:row r="727">
      <x:c r="A727" s="37" t="str">
        <x:f>"000053"</x:f>
        <x:v>000053</x:v>
      </x:c>
      <x:c r="B727" s="38" t="str">
        <x:f>"0"</x:f>
        <x:v>0</x:v>
      </x:c>
      <x:c r="C727" s="38" t="str">
        <x:v>RUBENS FERNANDES CORREA</x:v>
      </x:c>
      <x:c r="D727" s="38" t="str">
        <x:f>""</x:f>
      </x:c>
      <x:c r="E727" s="38" t="str">
        <x:f>""</x:f>
      </x:c>
      <x:c r="F727" s="38" t="str"/>
      <x:c r="G727" s="39" t="n">
        <x:v>46132</x:v>
      </x:c>
      <x:c r="H727" s="16" t="str">
        <x:v>04/2026</x:v>
      </x:c>
      <x:c r="I727" s="40" t="n">
        <x:v>285.03</x:v>
      </x:c>
      <x:c r="J727" s="40" t="n">
        <x:v>308.04</x:v>
      </x:c>
      <x:c r="K727" s="16" t="str">
        <x:v>Novo</x:v>
      </x:c>
      <x:c r="L727" s="16" t="str">
        <x:v>Em aberto</x:v>
      </x:c>
      <x:c r="M727" s="16" t="str">
        <x:v>d05b9235-d200-4e48-9cfe-c6842441dc05</x:v>
      </x:c>
      <x:c r="N727" s="41" t="str"/>
    </x:row>
    <x:row r="728">
      <x:c r="A728" s="37" t="str">
        <x:f>"000064"</x:f>
        <x:v>000064</x:v>
      </x:c>
      <x:c r="B728" s="38" t="str">
        <x:f>"0"</x:f>
        <x:v>0</x:v>
      </x:c>
      <x:c r="C728" s="38" t="str">
        <x:v>LUANA SAMPAIO SANTOS</x:v>
      </x:c>
      <x:c r="D728" s="38" t="str">
        <x:f>""</x:f>
      </x:c>
      <x:c r="E728" s="38" t="str">
        <x:f>""</x:f>
      </x:c>
      <x:c r="F728" s="38" t="str"/>
      <x:c r="G728" s="39" t="n">
        <x:v>46193</x:v>
      </x:c>
      <x:c r="H728" s="16" t="str">
        <x:v>06/2026</x:v>
      </x:c>
      <x:c r="I728" s="40" t="n">
        <x:v>308.53</x:v>
      </x:c>
      <x:c r="J728" s="40" t="n">
        <x:v>320.99</x:v>
      </x:c>
      <x:c r="K728" s="16" t="str">
        <x:v>Novo</x:v>
      </x:c>
      <x:c r="L728" s="16" t="str">
        <x:v>Em aberto</x:v>
      </x:c>
      <x:c r="M728" s="16" t="str">
        <x:v>f3a1af44-23d1-4446-8019-700f2eb11daf</x:v>
      </x:c>
      <x:c r="N728" s="41" t="str"/>
    </x:row>
    <x:row r="729">
      <x:c r="A729" s="37" t="str">
        <x:f>"000078"</x:f>
        <x:v>000078</x:v>
      </x:c>
      <x:c r="B729" s="38" t="str">
        <x:f>"0"</x:f>
        <x:v>0</x:v>
      </x:c>
      <x:c r="C729" s="38" t="str">
        <x:v>GENIVAL OLIVEIRA DOS SANTOS</x:v>
      </x:c>
      <x:c r="D729" s="38" t="str">
        <x:f>""</x:f>
      </x:c>
      <x:c r="E729" s="38" t="str">
        <x:f>""</x:f>
      </x:c>
      <x:c r="F729" s="38" t="str"/>
      <x:c r="G729" s="39" t="n">
        <x:v>46042</x:v>
      </x:c>
      <x:c r="H729" s="16" t="str">
        <x:v>01/2026</x:v>
      </x:c>
      <x:c r="I729" s="40" t="n">
        <x:v>316.31</x:v>
      </x:c>
      <x:c r="J729" s="40" t="n">
        <x:v>352.4</x:v>
      </x:c>
      <x:c r="K729" s="16" t="str">
        <x:v>Novo</x:v>
      </x:c>
      <x:c r="L729" s="16" t="str">
        <x:v>Em aberto</x:v>
      </x:c>
      <x:c r="M729" s="16" t="str">
        <x:v>e70dc627-dc82-4e95-9a6c-4a6101e2e515</x:v>
      </x:c>
      <x:c r="N729" s="41" t="str"/>
    </x:row>
    <x:row r="730">
      <x:c r="A730" s="37" t="str">
        <x:f>"000078"</x:f>
        <x:v>000078</x:v>
      </x:c>
      <x:c r="B730" s="38" t="str">
        <x:f>"0"</x:f>
        <x:v>0</x:v>
      </x:c>
      <x:c r="C730" s="38" t="str">
        <x:v>GENIVAL OLIVEIRA DOS SANTOS</x:v>
      </x:c>
      <x:c r="D730" s="38" t="str">
        <x:f>""</x:f>
      </x:c>
      <x:c r="E730" s="38" t="str">
        <x:f>""</x:f>
      </x:c>
      <x:c r="F730" s="38" t="str"/>
      <x:c r="G730" s="39" t="n">
        <x:v>46073</x:v>
      </x:c>
      <x:c r="H730" s="16" t="str">
        <x:v>02/2026</x:v>
      </x:c>
      <x:c r="I730" s="40" t="n">
        <x:v>316.31</x:v>
      </x:c>
      <x:c r="J730" s="40" t="n">
        <x:v>347.69</x:v>
      </x:c>
      <x:c r="K730" s="16" t="str">
        <x:v>Novo</x:v>
      </x:c>
      <x:c r="L730" s="16" t="str">
        <x:v>Em aberto</x:v>
      </x:c>
      <x:c r="M730" s="16" t="str">
        <x:v>f1b4e475-5897-4a6d-a0cf-13cdb388c477</x:v>
      </x:c>
      <x:c r="N730" s="41" t="str"/>
    </x:row>
    <x:row r="731">
      <x:c r="A731" s="37" t="str">
        <x:f>"000078"</x:f>
        <x:v>000078</x:v>
      </x:c>
      <x:c r="B731" s="38" t="str">
        <x:f>"0"</x:f>
        <x:v>0</x:v>
      </x:c>
      <x:c r="C731" s="38" t="str">
        <x:v>GENIVAL OLIVEIRA DOS SANTOS</x:v>
      </x:c>
      <x:c r="D731" s="38" t="str">
        <x:f>""</x:f>
      </x:c>
      <x:c r="E731" s="38" t="str">
        <x:f>""</x:f>
      </x:c>
      <x:c r="F731" s="38" t="str"/>
      <x:c r="G731" s="39" t="n">
        <x:v>46101</x:v>
      </x:c>
      <x:c r="H731" s="16" t="str">
        <x:v>03/2026</x:v>
      </x:c>
      <x:c r="I731" s="40" t="n">
        <x:v>316.31</x:v>
      </x:c>
      <x:c r="J731" s="40" t="n">
        <x:v>346.93</x:v>
      </x:c>
      <x:c r="K731" s="16" t="str">
        <x:v>Novo</x:v>
      </x:c>
      <x:c r="L731" s="16" t="str">
        <x:v>Em aberto</x:v>
      </x:c>
      <x:c r="M731" s="16" t="str">
        <x:v>186cc122-3dea-4ec9-927b-3b4031143c90</x:v>
      </x:c>
      <x:c r="N731" s="41" t="str"/>
    </x:row>
    <x:row r="732">
      <x:c r="A732" s="37" t="str">
        <x:f>"000078"</x:f>
        <x:v>000078</x:v>
      </x:c>
      <x:c r="B732" s="38" t="str">
        <x:f>"0"</x:f>
        <x:v>0</x:v>
      </x:c>
      <x:c r="C732" s="38" t="str">
        <x:v>GENIVAL OLIVEIRA DOS SANTOS</x:v>
      </x:c>
      <x:c r="D732" s="38" t="str">
        <x:f>""</x:f>
      </x:c>
      <x:c r="E732" s="38" t="str">
        <x:f>""</x:f>
      </x:c>
      <x:c r="F732" s="38" t="str"/>
      <x:c r="G732" s="39" t="n">
        <x:v>46132</x:v>
      </x:c>
      <x:c r="H732" s="16" t="str">
        <x:v>04/2026</x:v>
      </x:c>
      <x:c r="I732" s="40" t="n">
        <x:v>316.31</x:v>
      </x:c>
      <x:c r="J732" s="40" t="n">
        <x:v>341.85</x:v>
      </x:c>
      <x:c r="K732" s="16" t="str">
        <x:v>Novo</x:v>
      </x:c>
      <x:c r="L732" s="16" t="str">
        <x:v>Em aberto</x:v>
      </x:c>
      <x:c r="M732" s="16" t="str">
        <x:v>2c31cd61-8034-425c-86eb-e746d2fbeb8e</x:v>
      </x:c>
      <x:c r="N732" s="41" t="str"/>
    </x:row>
    <x:row r="733">
      <x:c r="A733" s="42" t="str">
        <x:f>"000078"</x:f>
        <x:v>000078</x:v>
      </x:c>
      <x:c r="B733" s="43" t="str">
        <x:f>"0"</x:f>
        <x:v>0</x:v>
      </x:c>
      <x:c r="C733" s="43" t="str">
        <x:v>GENIVAL OLIVEIRA DOS SANTOS</x:v>
      </x:c>
      <x:c r="D733" s="43" t="str">
        <x:f>""</x:f>
      </x:c>
      <x:c r="E733" s="43" t="str">
        <x:f>""</x:f>
      </x:c>
      <x:c r="F733" s="43" t="str"/>
      <x:c r="G733" s="44" t="n">
        <x:v>46162</x:v>
      </x:c>
      <x:c r="H733" s="20" t="str">
        <x:v>05/2026</x:v>
      </x:c>
      <x:c r="I733" s="45" t="n">
        <x:v>316.31</x:v>
      </x:c>
      <x:c r="J733" s="45" t="n">
        <x:v>332.32</x:v>
      </x:c>
      <x:c r="K733" s="20" t="str">
        <x:v>Novo</x:v>
      </x:c>
      <x:c r="L733" s="20" t="str">
        <x:v>Em aberto</x:v>
      </x:c>
      <x:c r="M733" s="20" t="str">
        <x:v>3d669229-8960-45c0-b539-47457df972fa</x:v>
      </x:c>
      <x:c r="N733" s="46" t="str"/>
    </x:row>
    <x:row r="734">
      <x:c r="A734" s="47" t="str">
        <x:v>Subtotal</x:v>
      </x:c>
      <x:c r="B734" s="47" t="str"/>
      <x:c r="C734" s="47" t="str"/>
      <x:c r="D734" s="47" t="str"/>
      <x:c r="E734" s="47" t="str"/>
      <x:c r="F734" s="47" t="str"/>
      <x:c r="G734" s="47" t="str"/>
      <x:c r="H734" s="47" t="str"/>
      <x:c r="I734" s="47" t="str"/>
      <x:c r="J734" s="48" t="n">
        <x:v>3822.12</x:v>
      </x:c>
      <x:c r="K734" s="47" t="str">
        <x:v>12 novas</x:v>
      </x:c>
      <x:c r="L734" s="47" t="str">
        <x:v>0 ativas</x:v>
      </x:c>
      <x:c r="M734" s="47" t="str"/>
      <x:c r="N734" s="47" t="str"/>
    </x:row>
    <x:row r="736">
      <x:c r="A736" s="26" t="str">
        <x:v>CONDOMÍNIO IL FARO</x:v>
      </x:c>
      <x:c r="B736" s="26"/>
      <x:c r="C736" s="26"/>
      <x:c r="D736" s="26"/>
      <x:c r="E736" s="26"/>
      <x:c r="F736" s="26"/>
      <x:c r="G736" s="26"/>
      <x:c r="H736" s="26"/>
      <x:c r="I736" s="26"/>
      <x:c r="J736" s="26"/>
      <x:c r="K736" s="26"/>
      <x:c r="L736" s="26"/>
      <x:c r="M736" s="26"/>
      <x:c r="N736" s="26"/>
    </x:row>
    <x:row r="737">
      <x:c r="A737" s="28" t="str">
        <x:v>CNPJ</x:v>
      </x:c>
      <x:c r="B737" s="28" t="str">
        <x:v>47.288.221/0001-70</x:v>
      </x:c>
      <x:c r="C737" s="28"/>
      <x:c r="D737" s="28" t="str">
        <x:v>Dia de vencimento</x:v>
      </x:c>
      <x:c r="E737" s="28" t="n">
        <x:v>10</x:v>
      </x:c>
      <x:c r="F737" s="28" t="str">
        <x:v>Régua</x:v>
      </x:c>
      <x:c r="G737" s="28" t="str">
        <x:v>D+60 · pré-jurídico em D+90</x:v>
      </x:c>
      <x:c r="H737" s="28"/>
      <x:c r="I737" s="28"/>
      <x:c r="J737" s="28"/>
      <x:c r="K737" s="28"/>
      <x:c r="L737" s="28"/>
      <x:c r="M737" s="28"/>
      <x:c r="N737" s="28"/>
    </x:row>
    <x:row r="738">
      <x:c r="A738" s="9" t="str">
        <x:v>Unidade</x:v>
      </x:c>
      <x:c r="B738" s="9" t="str">
        <x:v>Bloco</x:v>
      </x:c>
      <x:c r="C738" s="9" t="str">
        <x:v>Responsável</x:v>
      </x:c>
      <x:c r="D738" s="9" t="str">
        <x:v>Documento</x:v>
      </x:c>
      <x:c r="E738" s="9" t="str">
        <x:v>Telefone</x:v>
      </x:c>
      <x:c r="F738" s="9" t="str">
        <x:v>E-mail</x:v>
      </x:c>
      <x:c r="G738" s="9" t="str">
        <x:v>Vencimento</x:v>
      </x:c>
      <x:c r="H738" s="9" t="str">
        <x:v>Competência</x:v>
      </x:c>
      <x:c r="I738" s="9" t="str">
        <x:v>Valor original</x:v>
      </x:c>
      <x:c r="J738" s="9" t="str">
        <x:v>Valor atualizado</x:v>
      </x:c>
      <x:c r="K738" s="9" t="str">
        <x:v>Status operacional</x:v>
      </x:c>
      <x:c r="L738" s="9" t="str">
        <x:v>Status financeiro</x:v>
      </x:c>
      <x:c r="M738" s="9" t="str">
        <x:v>ID cobrança</x:v>
      </x:c>
      <x:c r="N738" s="9" t="str">
        <x:v>Observação</x:v>
      </x:c>
    </x:row>
    <x:row r="739">
      <x:c r="A739" s="31" t="str">
        <x:f>"000033"</x:f>
        <x:v>000033</x:v>
      </x:c>
      <x:c r="B739" s="32" t="str">
        <x:f>"0"</x:f>
        <x:v>0</x:v>
      </x:c>
      <x:c r="C739" s="32" t="str">
        <x:v>PATRÍCIA ROSSINI PUGLIESI ROCHA</x:v>
      </x:c>
      <x:c r="D739" s="32" t="str">
        <x:f>"05905110840"</x:f>
        <x:v>05905110840</x:v>
      </x:c>
      <x:c r="E739" s="32" t="str">
        <x:f>""</x:f>
      </x:c>
      <x:c r="F739" s="32" t="str">
        <x:v>eduardopugliesirocha@gmail.com</x:v>
      </x:c>
      <x:c r="G739" s="33" t="n">
        <x:v>46183</x:v>
      </x:c>
      <x:c r="H739" s="34" t="str">
        <x:v>06/2026</x:v>
      </x:c>
      <x:c r="I739" s="35" t="n">
        <x:v>3697.67</x:v>
      </x:c>
      <x:c r="J739" s="35" t="n">
        <x:v>3865.13</x:v>
      </x:c>
      <x:c r="K739" s="34" t="str">
        <x:v>Novo</x:v>
      </x:c>
      <x:c r="L739" s="34" t="str">
        <x:v>Em aberto</x:v>
      </x:c>
      <x:c r="M739" s="34" t="str">
        <x:v>f9fc2450-5627-42ff-a6e7-af1dd5b75412</x:v>
      </x:c>
      <x:c r="N739" s="36" t="str"/>
    </x:row>
    <x:row r="740">
      <x:c r="A740" s="42" t="str">
        <x:f>"000092"</x:f>
        <x:v>000092</x:v>
      </x:c>
      <x:c r="B740" s="43" t="str">
        <x:f>"0"</x:f>
        <x:v>0</x:v>
      </x:c>
      <x:c r="C740" s="43" t="str">
        <x:v>ANDERSON FERNANDO MIRANDA</x:v>
      </x:c>
      <x:c r="D740" s="43" t="str">
        <x:f>"18347808880"</x:f>
        <x:v>18347808880</x:v>
      </x:c>
      <x:c r="E740" s="43" t="str">
        <x:f>"11947330708"</x:f>
        <x:v>11947330708</x:v>
      </x:c>
      <x:c r="F740" s="43" t="str">
        <x:v>anderfmiranda@gmail.com</x:v>
      </x:c>
      <x:c r="G740" s="44" t="n">
        <x:v>46183</x:v>
      </x:c>
      <x:c r="H740" s="20" t="str">
        <x:v>06/2026</x:v>
      </x:c>
      <x:c r="I740" s="45" t="n">
        <x:v>4610.72</x:v>
      </x:c>
      <x:c r="J740" s="45" t="n">
        <x:v>4819.56</x:v>
      </x:c>
      <x:c r="K740" s="20" t="str">
        <x:v>Novo</x:v>
      </x:c>
      <x:c r="L740" s="20" t="str">
        <x:v>Em aberto</x:v>
      </x:c>
      <x:c r="M740" s="20" t="str">
        <x:v>1cb16354-1759-45ef-aa6d-cbbf8ac9fddd</x:v>
      </x:c>
      <x:c r="N740" s="46" t="str"/>
    </x:row>
    <x:row r="741">
      <x:c r="A741" s="47" t="str">
        <x:v>Subtotal</x:v>
      </x:c>
      <x:c r="B741" s="47" t="str"/>
      <x:c r="C741" s="47" t="str"/>
      <x:c r="D741" s="47" t="str"/>
      <x:c r="E741" s="47" t="str"/>
      <x:c r="F741" s="47" t="str"/>
      <x:c r="G741" s="47" t="str"/>
      <x:c r="H741" s="47" t="str"/>
      <x:c r="I741" s="47" t="str"/>
      <x:c r="J741" s="48" t="n">
        <x:v>8684.69</x:v>
      </x:c>
      <x:c r="K741" s="47" t="str">
        <x:v>2 novas</x:v>
      </x:c>
      <x:c r="L741" s="47" t="str">
        <x:v>0 ativas</x:v>
      </x:c>
      <x:c r="M741" s="47" t="str"/>
      <x:c r="N741" s="47" t="str"/>
    </x:row>
    <x:row r="743">
      <x:c r="A743" s="26" t="str">
        <x:v>CONDOMÍNIO K360º HUMBERTO I COMERCIAL</x:v>
      </x:c>
      <x:c r="B743" s="26"/>
      <x:c r="C743" s="26"/>
      <x:c r="D743" s="26"/>
      <x:c r="E743" s="26"/>
      <x:c r="F743" s="26"/>
      <x:c r="G743" s="26"/>
      <x:c r="H743" s="26"/>
      <x:c r="I743" s="26"/>
      <x:c r="J743" s="26"/>
      <x:c r="K743" s="26"/>
      <x:c r="L743" s="26"/>
      <x:c r="M743" s="26"/>
      <x:c r="N743" s="26"/>
    </x:row>
    <x:row r="744">
      <x:c r="A744" s="28" t="str">
        <x:v>CNPJ</x:v>
      </x:c>
      <x:c r="B744" s="28" t="str">
        <x:v>50.887.640/0003-03</x:v>
      </x:c>
      <x:c r="C744" s="28"/>
      <x:c r="D744" s="28" t="str">
        <x:v>Dia de vencimento</x:v>
      </x:c>
      <x:c r="E744" s="28" t="n">
        <x:v>10</x:v>
      </x:c>
      <x:c r="F744" s="28" t="str">
        <x:v>Régua</x:v>
      </x:c>
      <x:c r="G744" s="28" t="str">
        <x:v>D+30</x:v>
      </x:c>
      <x:c r="H744" s="28"/>
      <x:c r="I744" s="28"/>
      <x:c r="J744" s="28"/>
      <x:c r="K744" s="28"/>
      <x:c r="L744" s="28"/>
      <x:c r="M744" s="28"/>
      <x:c r="N744" s="28"/>
    </x:row>
    <x:row r="745">
      <x:c r="A745" s="9" t="str">
        <x:v>Unidade</x:v>
      </x:c>
      <x:c r="B745" s="9" t="str">
        <x:v>Bloco</x:v>
      </x:c>
      <x:c r="C745" s="9" t="str">
        <x:v>Responsável</x:v>
      </x:c>
      <x:c r="D745" s="9" t="str">
        <x:v>Documento</x:v>
      </x:c>
      <x:c r="E745" s="9" t="str">
        <x:v>Telefone</x:v>
      </x:c>
      <x:c r="F745" s="9" t="str">
        <x:v>E-mail</x:v>
      </x:c>
      <x:c r="G745" s="9" t="str">
        <x:v>Vencimento</x:v>
      </x:c>
      <x:c r="H745" s="9" t="str">
        <x:v>Competência</x:v>
      </x:c>
      <x:c r="I745" s="9" t="str">
        <x:v>Valor original</x:v>
      </x:c>
      <x:c r="J745" s="9" t="str">
        <x:v>Valor atualizado</x:v>
      </x:c>
      <x:c r="K745" s="9" t="str">
        <x:v>Status operacional</x:v>
      </x:c>
      <x:c r="L745" s="9" t="str">
        <x:v>Status financeiro</x:v>
      </x:c>
      <x:c r="M745" s="9" t="str">
        <x:v>ID cobrança</x:v>
      </x:c>
      <x:c r="N745" s="9" t="str">
        <x:v>Observação</x:v>
      </x:c>
    </x:row>
    <x:row r="746">
      <x:c r="A746" s="31" t="str">
        <x:f>"000201"</x:f>
        <x:v>000201</x:v>
      </x:c>
      <x:c r="B746" s="32" t="str">
        <x:f>"0"</x:f>
        <x:v>0</x:v>
      </x:c>
      <x:c r="C746" s="32" t="str">
        <x:v>AH ZURICH EMPREEND E INCORP LTDA</x:v>
      </x:c>
      <x:c r="D746" s="32" t="str">
        <x:f>""</x:f>
      </x:c>
      <x:c r="E746" s="32" t="str">
        <x:f>""</x:f>
      </x:c>
      <x:c r="F746" s="32" t="str"/>
      <x:c r="G746" s="33" t="n">
        <x:v>46213</x:v>
      </x:c>
      <x:c r="H746" s="34" t="str">
        <x:v>07/2026</x:v>
      </x:c>
      <x:c r="I746" s="35" t="n">
        <x:v>1293.22</x:v>
      </x:c>
      <x:c r="J746" s="35" t="n">
        <x:v>1332.27</x:v>
      </x:c>
      <x:c r="K746" s="34" t="str">
        <x:v>Novo</x:v>
      </x:c>
      <x:c r="L746" s="34" t="str">
        <x:v>Em aberto</x:v>
      </x:c>
      <x:c r="M746" s="34" t="str">
        <x:v>2a813030-be07-4ed5-a0b0-315ce7c287ca</x:v>
      </x:c>
      <x:c r="N746" s="36" t="str"/>
    </x:row>
    <x:row r="747">
      <x:c r="A747" s="37" t="str">
        <x:f>"000217"</x:f>
        <x:v>000217</x:v>
      </x:c>
      <x:c r="B747" s="38" t="str">
        <x:f>"0"</x:f>
        <x:v>0</x:v>
      </x:c>
      <x:c r="C747" s="38" t="str">
        <x:v>MARIA INEZ ENGLESIAS</x:v>
      </x:c>
      <x:c r="D747" s="38" t="str">
        <x:f>""</x:f>
      </x:c>
      <x:c r="E747" s="38" t="str">
        <x:f>""</x:f>
      </x:c>
      <x:c r="F747" s="38" t="str"/>
      <x:c r="G747" s="39" t="n">
        <x:v>46032</x:v>
      </x:c>
      <x:c r="H747" s="16" t="str">
        <x:v>01/2026</x:v>
      </x:c>
      <x:c r="I747" s="40" t="n">
        <x:v>648.87</x:v>
      </x:c>
      <x:c r="J747" s="40" t="n">
        <x:v>722.9</x:v>
      </x:c>
      <x:c r="K747" s="16" t="str">
        <x:v>Novo</x:v>
      </x:c>
      <x:c r="L747" s="16" t="str">
        <x:v>Em aberto</x:v>
      </x:c>
      <x:c r="M747" s="16" t="str">
        <x:v>8c3d79bb-d63f-4ef4-aaab-d73bc8773240</x:v>
      </x:c>
      <x:c r="N747" s="41" t="str"/>
    </x:row>
    <x:row r="748">
      <x:c r="A748" s="37" t="str">
        <x:f>"000217"</x:f>
        <x:v>000217</x:v>
      </x:c>
      <x:c r="B748" s="38" t="str">
        <x:f>"0"</x:f>
        <x:v>0</x:v>
      </x:c>
      <x:c r="C748" s="38" t="str">
        <x:v>MARIA INEZ ENGLESIAS</x:v>
      </x:c>
      <x:c r="D748" s="38" t="str">
        <x:f>""</x:f>
      </x:c>
      <x:c r="E748" s="38" t="str">
        <x:f>""</x:f>
      </x:c>
      <x:c r="F748" s="38" t="str"/>
      <x:c r="G748" s="39" t="n">
        <x:v>46063</x:v>
      </x:c>
      <x:c r="H748" s="16" t="str">
        <x:v>02/2026</x:v>
      </x:c>
      <x:c r="I748" s="40" t="n">
        <x:v>648.03</x:v>
      </x:c>
      <x:c r="J748" s="40" t="n">
        <x:v>712.3</x:v>
      </x:c>
      <x:c r="K748" s="16" t="str">
        <x:v>Novo</x:v>
      </x:c>
      <x:c r="L748" s="16" t="str">
        <x:v>Em aberto</x:v>
      </x:c>
      <x:c r="M748" s="16" t="str">
        <x:v>ec6fc718-7154-4e10-9463-5b7aed7c2003</x:v>
      </x:c>
      <x:c r="N748" s="41" t="str"/>
    </x:row>
    <x:row r="749">
      <x:c r="A749" s="37" t="str">
        <x:f>"000217"</x:f>
        <x:v>000217</x:v>
      </x:c>
      <x:c r="B749" s="38" t="str">
        <x:f>"0"</x:f>
        <x:v>0</x:v>
      </x:c>
      <x:c r="C749" s="38" t="str">
        <x:v>MARIA INEZ ENGLESIAS</x:v>
      </x:c>
      <x:c r="D749" s="38" t="str">
        <x:f>""</x:f>
      </x:c>
      <x:c r="E749" s="38" t="str">
        <x:f>""</x:f>
      </x:c>
      <x:c r="F749" s="38" t="str"/>
      <x:c r="G749" s="39" t="n">
        <x:v>46091</x:v>
      </x:c>
      <x:c r="H749" s="16" t="str">
        <x:v>03/2026</x:v>
      </x:c>
      <x:c r="I749" s="40" t="n">
        <x:v>649.98</x:v>
      </x:c>
      <x:c r="J749" s="40" t="n">
        <x:v>712.9</x:v>
      </x:c>
      <x:c r="K749" s="16" t="str">
        <x:v>Novo</x:v>
      </x:c>
      <x:c r="L749" s="16" t="str">
        <x:v>Em aberto</x:v>
      </x:c>
      <x:c r="M749" s="16" t="str">
        <x:v>384cdc0d-623d-4d24-b8e4-18ebcdf8a732</x:v>
      </x:c>
      <x:c r="N749" s="41" t="str"/>
    </x:row>
    <x:row r="750">
      <x:c r="A750" s="37" t="str">
        <x:f>"000217"</x:f>
        <x:v>000217</x:v>
      </x:c>
      <x:c r="B750" s="38" t="str">
        <x:f>"0"</x:f>
        <x:v>0</x:v>
      </x:c>
      <x:c r="C750" s="38" t="str">
        <x:v>MARIA INEZ ENGLESIAS</x:v>
      </x:c>
      <x:c r="D750" s="38" t="str">
        <x:f>""</x:f>
      </x:c>
      <x:c r="E750" s="38" t="str">
        <x:f>""</x:f>
      </x:c>
      <x:c r="F750" s="38" t="str"/>
      <x:c r="G750" s="39" t="n">
        <x:v>46122</x:v>
      </x:c>
      <x:c r="H750" s="16" t="str">
        <x:v>04/2026</x:v>
      </x:c>
      <x:c r="I750" s="40" t="n">
        <x:v>648.34</x:v>
      </x:c>
      <x:c r="J750" s="40" t="n">
        <x:v>700.69</x:v>
      </x:c>
      <x:c r="K750" s="16" t="str">
        <x:v>Novo</x:v>
      </x:c>
      <x:c r="L750" s="16" t="str">
        <x:v>Em aberto</x:v>
      </x:c>
      <x:c r="M750" s="16" t="str">
        <x:v>760b7126-7b80-48dd-b1f6-4d22aa929f3f</x:v>
      </x:c>
      <x:c r="N750" s="41" t="str"/>
    </x:row>
    <x:row r="751">
      <x:c r="A751" s="37" t="str">
        <x:f>"000217"</x:f>
        <x:v>000217</x:v>
      </x:c>
      <x:c r="B751" s="38" t="str">
        <x:f>"0"</x:f>
        <x:v>0</x:v>
      </x:c>
      <x:c r="C751" s="38" t="str">
        <x:v>MARIA INEZ ENGLESIAS</x:v>
      </x:c>
      <x:c r="D751" s="38" t="str">
        <x:f>""</x:f>
      </x:c>
      <x:c r="E751" s="38" t="str">
        <x:f>""</x:f>
      </x:c>
      <x:c r="F751" s="38" t="str"/>
      <x:c r="G751" s="39" t="n">
        <x:v>46152</x:v>
      </x:c>
      <x:c r="H751" s="16" t="str">
        <x:v>05/2026</x:v>
      </x:c>
      <x:c r="I751" s="40" t="n">
        <x:v>645.15</x:v>
      </x:c>
      <x:c r="J751" s="40" t="n">
        <x:v>677.79</x:v>
      </x:c>
      <x:c r="K751" s="16" t="str">
        <x:v>Novo</x:v>
      </x:c>
      <x:c r="L751" s="16" t="str">
        <x:v>Em aberto</x:v>
      </x:c>
      <x:c r="M751" s="16" t="str">
        <x:v>efe76029-7817-4d3e-9c3c-c992f48f0da5</x:v>
      </x:c>
      <x:c r="N751" s="41" t="str"/>
    </x:row>
    <x:row r="752">
      <x:c r="A752" s="37" t="str">
        <x:f>"000217"</x:f>
        <x:v>000217</x:v>
      </x:c>
      <x:c r="B752" s="38" t="str">
        <x:f>"0"</x:f>
        <x:v>0</x:v>
      </x:c>
      <x:c r="C752" s="38" t="str">
        <x:v>MARIA INEZ ENGLESIAS</x:v>
      </x:c>
      <x:c r="D752" s="38" t="str">
        <x:f>""</x:f>
      </x:c>
      <x:c r="E752" s="38" t="str">
        <x:f>""</x:f>
      </x:c>
      <x:c r="F752" s="38" t="str"/>
      <x:c r="G752" s="39" t="n">
        <x:v>46183</x:v>
      </x:c>
      <x:c r="H752" s="16" t="str">
        <x:v>06/2026</x:v>
      </x:c>
      <x:c r="I752" s="40" t="n">
        <x:v>646.9</x:v>
      </x:c>
      <x:c r="J752" s="40" t="n">
        <x:v>673.04</x:v>
      </x:c>
      <x:c r="K752" s="16" t="str">
        <x:v>Novo</x:v>
      </x:c>
      <x:c r="L752" s="16" t="str">
        <x:v>Em aberto</x:v>
      </x:c>
      <x:c r="M752" s="16" t="str">
        <x:v>144c99b0-aec2-4ab6-88a4-3b860ff7ae0b</x:v>
      </x:c>
      <x:c r="N752" s="41" t="str"/>
    </x:row>
    <x:row r="753">
      <x:c r="A753" s="37" t="str">
        <x:f>"000217"</x:f>
        <x:v>000217</x:v>
      </x:c>
      <x:c r="B753" s="38" t="str">
        <x:f>"0"</x:f>
        <x:v>0</x:v>
      </x:c>
      <x:c r="C753" s="38" t="str">
        <x:v>MARIA INEZ ENGLESIAS</x:v>
      </x:c>
      <x:c r="D753" s="38" t="str">
        <x:f>""</x:f>
      </x:c>
      <x:c r="E753" s="38" t="str">
        <x:f>""</x:f>
      </x:c>
      <x:c r="F753" s="38" t="str"/>
      <x:c r="G753" s="39" t="n">
        <x:v>46213</x:v>
      </x:c>
      <x:c r="H753" s="16" t="str">
        <x:v>07/2026</x:v>
      </x:c>
      <x:c r="I753" s="40" t="n">
        <x:v>647.56</x:v>
      </x:c>
      <x:c r="J753" s="40" t="n">
        <x:v>667.11</x:v>
      </x:c>
      <x:c r="K753" s="16" t="str">
        <x:v>Novo</x:v>
      </x:c>
      <x:c r="L753" s="16" t="str">
        <x:v>Em aberto</x:v>
      </x:c>
      <x:c r="M753" s="16" t="str">
        <x:v>b6017173-69c0-4c1e-8560-5039c783e73c</x:v>
      </x:c>
      <x:c r="N753" s="41" t="str"/>
    </x:row>
    <x:row r="754">
      <x:c r="A754" s="37" t="str">
        <x:f>"000218"</x:f>
        <x:v>000218</x:v>
      </x:c>
      <x:c r="B754" s="38" t="str">
        <x:f>"0"</x:f>
        <x:v>0</x:v>
      </x:c>
      <x:c r="C754" s="38" t="str">
        <x:v>PRG PARTICIPAÇÕES E I. LTDA</x:v>
      </x:c>
      <x:c r="D754" s="38" t="str">
        <x:f>""</x:f>
      </x:c>
      <x:c r="E754" s="38" t="str">
        <x:f>""</x:f>
      </x:c>
      <x:c r="F754" s="38" t="str"/>
      <x:c r="G754" s="39" t="n">
        <x:v>46032</x:v>
      </x:c>
      <x:c r="H754" s="16" t="str">
        <x:v>01/2026</x:v>
      </x:c>
      <x:c r="I754" s="40" t="n">
        <x:v>66.27</x:v>
      </x:c>
      <x:c r="J754" s="40" t="n">
        <x:v>73.84</x:v>
      </x:c>
      <x:c r="K754" s="16" t="str">
        <x:v>Novo</x:v>
      </x:c>
      <x:c r="L754" s="16" t="str">
        <x:v>Em aberto</x:v>
      </x:c>
      <x:c r="M754" s="16" t="str">
        <x:v>a2cb126d-b785-437d-b32c-f807d4e01f93</x:v>
      </x:c>
      <x:c r="N754" s="41" t="str"/>
    </x:row>
    <x:row r="755">
      <x:c r="A755" s="37" t="str">
        <x:f>"000218"</x:f>
        <x:v>000218</x:v>
      </x:c>
      <x:c r="B755" s="38" t="str">
        <x:f>"0"</x:f>
        <x:v>0</x:v>
      </x:c>
      <x:c r="C755" s="38" t="str">
        <x:v>PRG PARTICIPAÇÕES E I. LTDA</x:v>
      </x:c>
      <x:c r="D755" s="38" t="str">
        <x:f>""</x:f>
      </x:c>
      <x:c r="E755" s="38" t="str">
        <x:f>""</x:f>
      </x:c>
      <x:c r="F755" s="38" t="str"/>
      <x:c r="G755" s="39" t="n">
        <x:v>46063</x:v>
      </x:c>
      <x:c r="H755" s="16" t="str">
        <x:v>02/2026</x:v>
      </x:c>
      <x:c r="I755" s="40" t="n">
        <x:v>994.89</x:v>
      </x:c>
      <x:c r="J755" s="40" t="n">
        <x:v>1093.57</x:v>
      </x:c>
      <x:c r="K755" s="16" t="str">
        <x:v>Novo</x:v>
      </x:c>
      <x:c r="L755" s="16" t="str">
        <x:v>Em aberto</x:v>
      </x:c>
      <x:c r="M755" s="16" t="str">
        <x:v>b9d4c882-44c4-421d-8aef-8bdf35ebbaa9</x:v>
      </x:c>
      <x:c r="N755" s="41" t="str"/>
    </x:row>
    <x:row r="756">
      <x:c r="A756" s="37" t="str">
        <x:f>"000218"</x:f>
        <x:v>000218</x:v>
      </x:c>
      <x:c r="B756" s="38" t="str">
        <x:f>"0"</x:f>
        <x:v>0</x:v>
      </x:c>
      <x:c r="C756" s="38" t="str">
        <x:v>PRG PARTICIPAÇÕES E I. LTDA</x:v>
      </x:c>
      <x:c r="D756" s="38" t="str">
        <x:f>""</x:f>
      </x:c>
      <x:c r="E756" s="38" t="str">
        <x:f>""</x:f>
      </x:c>
      <x:c r="F756" s="38" t="str"/>
      <x:c r="G756" s="39" t="n">
        <x:v>46091</x:v>
      </x:c>
      <x:c r="H756" s="16" t="str">
        <x:v>03/2026</x:v>
      </x:c>
      <x:c r="I756" s="40" t="n">
        <x:v>997.89</x:v>
      </x:c>
      <x:c r="J756" s="40" t="n">
        <x:v>1094.49</x:v>
      </x:c>
      <x:c r="K756" s="16" t="str">
        <x:v>Novo</x:v>
      </x:c>
      <x:c r="L756" s="16" t="str">
        <x:v>Em aberto</x:v>
      </x:c>
      <x:c r="M756" s="16" t="str">
        <x:v>4edb13ff-64b4-4d33-95e6-0fd0ab1e3670</x:v>
      </x:c>
      <x:c r="N756" s="41" t="str"/>
    </x:row>
    <x:row r="757">
      <x:c r="A757" s="37" t="str">
        <x:f>"000218"</x:f>
        <x:v>000218</x:v>
      </x:c>
      <x:c r="B757" s="38" t="str">
        <x:f>"0"</x:f>
        <x:v>0</x:v>
      </x:c>
      <x:c r="C757" s="38" t="str">
        <x:v>PRG PARTICIPAÇÕES E I. LTDA</x:v>
      </x:c>
      <x:c r="D757" s="38" t="str">
        <x:f>""</x:f>
      </x:c>
      <x:c r="E757" s="38" t="str">
        <x:f>""</x:f>
      </x:c>
      <x:c r="F757" s="38" t="str"/>
      <x:c r="G757" s="39" t="n">
        <x:v>46152</x:v>
      </x:c>
      <x:c r="H757" s="16" t="str">
        <x:v>05/2026</x:v>
      </x:c>
      <x:c r="I757" s="40" t="n">
        <x:v>990.47</x:v>
      </x:c>
      <x:c r="J757" s="40" t="n">
        <x:v>1040.59</x:v>
      </x:c>
      <x:c r="K757" s="16" t="str">
        <x:v>Novo</x:v>
      </x:c>
      <x:c r="L757" s="16" t="str">
        <x:v>Em aberto</x:v>
      </x:c>
      <x:c r="M757" s="16" t="str">
        <x:v>9621c2e0-c294-40a0-a4ec-3de9f7950817</x:v>
      </x:c>
      <x:c r="N757" s="41" t="str"/>
    </x:row>
    <x:row r="758">
      <x:c r="A758" s="37" t="str">
        <x:f>"000218"</x:f>
        <x:v>000218</x:v>
      </x:c>
      <x:c r="B758" s="38" t="str">
        <x:f>"0"</x:f>
        <x:v>0</x:v>
      </x:c>
      <x:c r="C758" s="38" t="str">
        <x:v>PRG PARTICIPAÇÕES E I. LTDA</x:v>
      </x:c>
      <x:c r="D758" s="38" t="str">
        <x:f>""</x:f>
      </x:c>
      <x:c r="E758" s="38" t="str">
        <x:f>""</x:f>
      </x:c>
      <x:c r="F758" s="38" t="str"/>
      <x:c r="G758" s="39" t="n">
        <x:v>46183</x:v>
      </x:c>
      <x:c r="H758" s="16" t="str">
        <x:v>06/2026</x:v>
      </x:c>
      <x:c r="I758" s="40" t="n">
        <x:v>993.16</x:v>
      </x:c>
      <x:c r="J758" s="40" t="n">
        <x:v>1033.27</x:v>
      </x:c>
      <x:c r="K758" s="16" t="str">
        <x:v>Novo</x:v>
      </x:c>
      <x:c r="L758" s="16" t="str">
        <x:v>Em aberto</x:v>
      </x:c>
      <x:c r="M758" s="16" t="str">
        <x:v>b9d0a4b6-6848-4c48-a08c-419f6561c326</x:v>
      </x:c>
      <x:c r="N758" s="41" t="str"/>
    </x:row>
    <x:row r="759">
      <x:c r="A759" s="42" t="str">
        <x:f>"000218"</x:f>
        <x:v>000218</x:v>
      </x:c>
      <x:c r="B759" s="43" t="str">
        <x:f>"0"</x:f>
        <x:v>0</x:v>
      </x:c>
      <x:c r="C759" s="43" t="str">
        <x:v>PRG PARTICIPAÇÕES E I. LTDA</x:v>
      </x:c>
      <x:c r="D759" s="43" t="str">
        <x:f>""</x:f>
      </x:c>
      <x:c r="E759" s="43" t="str">
        <x:f>""</x:f>
      </x:c>
      <x:c r="F759" s="43" t="str"/>
      <x:c r="G759" s="44" t="n">
        <x:v>46213</x:v>
      </x:c>
      <x:c r="H759" s="20" t="str">
        <x:v>07/2026</x:v>
      </x:c>
      <x:c r="I759" s="45" t="n">
        <x:v>994.17</x:v>
      </x:c>
      <x:c r="J759" s="45" t="n">
        <x:v>1024.19</x:v>
      </x:c>
      <x:c r="K759" s="20" t="str">
        <x:v>Novo</x:v>
      </x:c>
      <x:c r="L759" s="20" t="str">
        <x:v>Em aberto</x:v>
      </x:c>
      <x:c r="M759" s="20" t="str">
        <x:v>625c33f8-fe6c-41cf-aed3-90427d0deb95</x:v>
      </x:c>
      <x:c r="N759" s="46" t="str"/>
    </x:row>
    <x:row r="760">
      <x:c r="A760" s="47" t="str">
        <x:v>Subtotal</x:v>
      </x:c>
      <x:c r="B760" s="47" t="str"/>
      <x:c r="C760" s="47" t="str"/>
      <x:c r="D760" s="47" t="str"/>
      <x:c r="E760" s="47" t="str"/>
      <x:c r="F760" s="47" t="str"/>
      <x:c r="G760" s="47" t="str"/>
      <x:c r="H760" s="47" t="str"/>
      <x:c r="I760" s="47" t="str"/>
      <x:c r="J760" s="48" t="n">
        <x:v>11558.95</x:v>
      </x:c>
      <x:c r="K760" s="47" t="str">
        <x:v>14 novas</x:v>
      </x:c>
      <x:c r="L760" s="47" t="str">
        <x:v>0 ativas</x:v>
      </x:c>
      <x:c r="M760" s="47" t="str"/>
      <x:c r="N760" s="47" t="str"/>
    </x:row>
    <x:row r="762">
      <x:c r="A762" s="26" t="str">
        <x:v>CONDOMÍNIO K360º HUMBERTO I-RESIDENCIAL</x:v>
      </x:c>
      <x:c r="B762" s="26"/>
      <x:c r="C762" s="26"/>
      <x:c r="D762" s="26"/>
      <x:c r="E762" s="26"/>
      <x:c r="F762" s="26"/>
      <x:c r="G762" s="26"/>
      <x:c r="H762" s="26"/>
      <x:c r="I762" s="26"/>
      <x:c r="J762" s="26"/>
      <x:c r="K762" s="26"/>
      <x:c r="L762" s="26"/>
      <x:c r="M762" s="26"/>
      <x:c r="N762" s="26"/>
    </x:row>
    <x:row r="763">
      <x:c r="A763" s="28" t="str">
        <x:v>CNPJ</x:v>
      </x:c>
      <x:c r="B763" s="28" t="str">
        <x:v>50.887.640/0002-14</x:v>
      </x:c>
      <x:c r="C763" s="28"/>
      <x:c r="D763" s="28" t="str">
        <x:v>Dia de vencimento</x:v>
      </x:c>
      <x:c r="E763" s="28" t="n">
        <x:v>10</x:v>
      </x:c>
      <x:c r="F763" s="28" t="str">
        <x:v>Régua</x:v>
      </x:c>
      <x:c r="G763" s="28" t="str">
        <x:v>D+30</x:v>
      </x:c>
      <x:c r="H763" s="28"/>
      <x:c r="I763" s="28"/>
      <x:c r="J763" s="28"/>
      <x:c r="K763" s="28"/>
      <x:c r="L763" s="28"/>
      <x:c r="M763" s="28"/>
      <x:c r="N763" s="28"/>
    </x:row>
    <x:row r="764">
      <x:c r="A764" s="9" t="str">
        <x:v>Unidade</x:v>
      </x:c>
      <x:c r="B764" s="9" t="str">
        <x:v>Bloco</x:v>
      </x:c>
      <x:c r="C764" s="9" t="str">
        <x:v>Responsável</x:v>
      </x:c>
      <x:c r="D764" s="9" t="str">
        <x:v>Documento</x:v>
      </x:c>
      <x:c r="E764" s="9" t="str">
        <x:v>Telefone</x:v>
      </x:c>
      <x:c r="F764" s="9" t="str">
        <x:v>E-mail</x:v>
      </x:c>
      <x:c r="G764" s="9" t="str">
        <x:v>Vencimento</x:v>
      </x:c>
      <x:c r="H764" s="9" t="str">
        <x:v>Competência</x:v>
      </x:c>
      <x:c r="I764" s="9" t="str">
        <x:v>Valor original</x:v>
      </x:c>
      <x:c r="J764" s="9" t="str">
        <x:v>Valor atualizado</x:v>
      </x:c>
      <x:c r="K764" s="9" t="str">
        <x:v>Status operacional</x:v>
      </x:c>
      <x:c r="L764" s="9" t="str">
        <x:v>Status financeiro</x:v>
      </x:c>
      <x:c r="M764" s="9" t="str">
        <x:v>ID cobrança</x:v>
      </x:c>
      <x:c r="N764" s="9" t="str">
        <x:v>Observação</x:v>
      </x:c>
    </x:row>
    <x:row r="765">
      <x:c r="A765" s="31" t="str">
        <x:f>"000707"</x:f>
        <x:v>000707</x:v>
      </x:c>
      <x:c r="B765" s="32" t="str">
        <x:f>"RES"</x:f>
        <x:v>RES</x:v>
      </x:c>
      <x:c r="C765" s="32" t="str">
        <x:v>PATRICIA DE CASSIA FARO JAEGER</x:v>
      </x:c>
      <x:c r="D765" s="32" t="str">
        <x:f>""</x:f>
      </x:c>
      <x:c r="E765" s="32" t="str">
        <x:f>""</x:f>
      </x:c>
      <x:c r="F765" s="32" t="str"/>
      <x:c r="G765" s="33" t="n">
        <x:v>46032</x:v>
      </x:c>
      <x:c r="H765" s="34" t="str">
        <x:v>01/2026</x:v>
      </x:c>
      <x:c r="I765" s="35" t="n">
        <x:v>613.04</x:v>
      </x:c>
      <x:c r="J765" s="35" t="n">
        <x:v>682.97</x:v>
      </x:c>
      <x:c r="K765" s="34" t="str">
        <x:v>Novo</x:v>
      </x:c>
      <x:c r="L765" s="34" t="str">
        <x:v>Em aberto</x:v>
      </x:c>
      <x:c r="M765" s="34" t="str">
        <x:v>4266386d-c383-4e05-adb8-88b915309123</x:v>
      </x:c>
      <x:c r="N765" s="36" t="str"/>
    </x:row>
    <x:row r="766">
      <x:c r="A766" s="37" t="str">
        <x:f>"000707"</x:f>
        <x:v>000707</x:v>
      </x:c>
      <x:c r="B766" s="38" t="str">
        <x:f>"RES"</x:f>
        <x:v>RES</x:v>
      </x:c>
      <x:c r="C766" s="38" t="str">
        <x:v>PATRICIA DE CASSIA FARO JAEGER</x:v>
      </x:c>
      <x:c r="D766" s="38" t="str">
        <x:f>""</x:f>
      </x:c>
      <x:c r="E766" s="38" t="str">
        <x:f>""</x:f>
      </x:c>
      <x:c r="F766" s="38" t="str"/>
      <x:c r="G766" s="39" t="n">
        <x:v>46122</x:v>
      </x:c>
      <x:c r="H766" s="16" t="str">
        <x:v>04/2026</x:v>
      </x:c>
      <x:c r="I766" s="40" t="n">
        <x:v>1076.35</x:v>
      </x:c>
      <x:c r="J766" s="40" t="n">
        <x:v>1163.25</x:v>
      </x:c>
      <x:c r="K766" s="16" t="str">
        <x:v>Novo</x:v>
      </x:c>
      <x:c r="L766" s="16" t="str">
        <x:v>Em aberto</x:v>
      </x:c>
      <x:c r="M766" s="16" t="str">
        <x:v>ddc6d744-b8dd-43ac-b459-73a60a54b60b</x:v>
      </x:c>
      <x:c r="N766" s="41" t="str"/>
    </x:row>
    <x:row r="767">
      <x:c r="A767" s="37" t="str">
        <x:f>"001310"</x:f>
        <x:v>001310</x:v>
      </x:c>
      <x:c r="B767" s="38" t="str">
        <x:f>"RES"</x:f>
        <x:v>RES</x:v>
      </x:c>
      <x:c r="C767" s="38" t="str">
        <x:v>WALDIR GUBEISSI PINTO</x:v>
      </x:c>
      <x:c r="D767" s="38" t="str">
        <x:f>""</x:f>
      </x:c>
      <x:c r="E767" s="38" t="str">
        <x:f>""</x:f>
      </x:c>
      <x:c r="F767" s="38" t="str"/>
      <x:c r="G767" s="39" t="n">
        <x:v>46032</x:v>
      </x:c>
      <x:c r="H767" s="16" t="str">
        <x:v>01/2026</x:v>
      </x:c>
      <x:c r="I767" s="40" t="n">
        <x:v>851.3</x:v>
      </x:c>
      <x:c r="J767" s="40" t="n">
        <x:v>948.42</x:v>
      </x:c>
      <x:c r="K767" s="16" t="str">
        <x:v>Novo</x:v>
      </x:c>
      <x:c r="L767" s="16" t="str">
        <x:v>Em aberto</x:v>
      </x:c>
      <x:c r="M767" s="16" t="str">
        <x:v>3a472d72-848b-4306-adc5-4ebef2a37dbc</x:v>
      </x:c>
      <x:c r="N767" s="41" t="str"/>
    </x:row>
    <x:row r="768">
      <x:c r="A768" s="37" t="str">
        <x:f>"001502"</x:f>
        <x:v>001502</x:v>
      </x:c>
      <x:c r="B768" s="38" t="str">
        <x:f>"RES"</x:f>
        <x:v>RES</x:v>
      </x:c>
      <x:c r="C768" s="38" t="str">
        <x:v>MARIA INEZ ENGLESIAS</x:v>
      </x:c>
      <x:c r="D768" s="38" t="str">
        <x:f>""</x:f>
      </x:c>
      <x:c r="E768" s="38" t="str">
        <x:f>""</x:f>
      </x:c>
      <x:c r="F768" s="38" t="str"/>
      <x:c r="G768" s="39" t="n">
        <x:v>46032</x:v>
      </x:c>
      <x:c r="H768" s="16" t="str">
        <x:v>01/2026</x:v>
      </x:c>
      <x:c r="I768" s="40" t="n">
        <x:v>486.54</x:v>
      </x:c>
      <x:c r="J768" s="40" t="n">
        <x:v>542.04</x:v>
      </x:c>
      <x:c r="K768" s="16" t="str">
        <x:v>Novo</x:v>
      </x:c>
      <x:c r="L768" s="16" t="str">
        <x:v>Em aberto</x:v>
      </x:c>
      <x:c r="M768" s="16" t="str">
        <x:v>d9ce171b-8495-4c76-901c-af239eb5d634</x:v>
      </x:c>
      <x:c r="N768" s="41" t="str"/>
    </x:row>
    <x:row r="769">
      <x:c r="A769" s="37" t="str">
        <x:f>"001502"</x:f>
        <x:v>001502</x:v>
      </x:c>
      <x:c r="B769" s="38" t="str">
        <x:f>"RES"</x:f>
        <x:v>RES</x:v>
      </x:c>
      <x:c r="C769" s="38" t="str">
        <x:v>MARIA INEZ ENGLESIAS</x:v>
      </x:c>
      <x:c r="D769" s="38" t="str">
        <x:f>""</x:f>
      </x:c>
      <x:c r="E769" s="38" t="str">
        <x:f>""</x:f>
      </x:c>
      <x:c r="F769" s="38" t="str"/>
      <x:c r="G769" s="39" t="n">
        <x:v>46063</x:v>
      </x:c>
      <x:c r="H769" s="16" t="str">
        <x:v>02/2026</x:v>
      </x:c>
      <x:c r="I769" s="40" t="n">
        <x:v>485.76</x:v>
      </x:c>
      <x:c r="J769" s="40" t="n">
        <x:v>533.94</x:v>
      </x:c>
      <x:c r="K769" s="16" t="str">
        <x:v>Novo</x:v>
      </x:c>
      <x:c r="L769" s="16" t="str">
        <x:v>Em aberto</x:v>
      </x:c>
      <x:c r="M769" s="16" t="str">
        <x:v>e8421eab-da50-42be-977e-710f61270079</x:v>
      </x:c>
      <x:c r="N769" s="41" t="str"/>
    </x:row>
    <x:row r="770">
      <x:c r="A770" s="37" t="str">
        <x:f>"001502"</x:f>
        <x:v>001502</x:v>
      </x:c>
      <x:c r="B770" s="38" t="str">
        <x:f>"RES"</x:f>
        <x:v>RES</x:v>
      </x:c>
      <x:c r="C770" s="38" t="str">
        <x:v>MARIA INEZ ENGLESIAS</x:v>
      </x:c>
      <x:c r="D770" s="38" t="str">
        <x:f>""</x:f>
      </x:c>
      <x:c r="E770" s="38" t="str">
        <x:f>""</x:f>
      </x:c>
      <x:c r="F770" s="38" t="str"/>
      <x:c r="G770" s="39" t="n">
        <x:v>46091</x:v>
      </x:c>
      <x:c r="H770" s="16" t="str">
        <x:v>03/2026</x:v>
      </x:c>
      <x:c r="I770" s="40" t="n">
        <x:v>412.21</x:v>
      </x:c>
      <x:c r="J770" s="40" t="n">
        <x:v>452.11</x:v>
      </x:c>
      <x:c r="K770" s="16" t="str">
        <x:v>Novo</x:v>
      </x:c>
      <x:c r="L770" s="16" t="str">
        <x:v>Em aberto</x:v>
      </x:c>
      <x:c r="M770" s="16" t="str">
        <x:v>5e0666de-3eb7-439b-956f-c53fdf917606</x:v>
      </x:c>
      <x:c r="N770" s="41" t="str"/>
    </x:row>
    <x:row r="771">
      <x:c r="A771" s="37" t="str">
        <x:f>"001502"</x:f>
        <x:v>001502</x:v>
      </x:c>
      <x:c r="B771" s="38" t="str">
        <x:f>"RES"</x:f>
        <x:v>RES</x:v>
      </x:c>
      <x:c r="C771" s="38" t="str">
        <x:v>MARIA INEZ ENGLESIAS</x:v>
      </x:c>
      <x:c r="D771" s="38" t="str">
        <x:f>""</x:f>
      </x:c>
      <x:c r="E771" s="38" t="str">
        <x:f>""</x:f>
      </x:c>
      <x:c r="F771" s="38" t="str"/>
      <x:c r="G771" s="39" t="n">
        <x:v>46122</x:v>
      </x:c>
      <x:c r="H771" s="16" t="str">
        <x:v>04/2026</x:v>
      </x:c>
      <x:c r="I771" s="40" t="n">
        <x:v>437.02</x:v>
      </x:c>
      <x:c r="J771" s="40" t="n">
        <x:v>472.31</x:v>
      </x:c>
      <x:c r="K771" s="16" t="str">
        <x:v>Novo</x:v>
      </x:c>
      <x:c r="L771" s="16" t="str">
        <x:v>Em aberto</x:v>
      </x:c>
      <x:c r="M771" s="16" t="str">
        <x:v>2234b43d-be16-4931-bfa2-2005d1cc48f2</x:v>
      </x:c>
      <x:c r="N771" s="41" t="str"/>
    </x:row>
    <x:row r="772">
      <x:c r="A772" s="37" t="str">
        <x:f>"001502"</x:f>
        <x:v>001502</x:v>
      </x:c>
      <x:c r="B772" s="38" t="str">
        <x:f>"RES"</x:f>
        <x:v>RES</x:v>
      </x:c>
      <x:c r="C772" s="38" t="str">
        <x:v>MARIA INEZ ENGLESIAS</x:v>
      </x:c>
      <x:c r="D772" s="38" t="str">
        <x:f>""</x:f>
      </x:c>
      <x:c r="E772" s="38" t="str">
        <x:f>""</x:f>
      </x:c>
      <x:c r="F772" s="38" t="str"/>
      <x:c r="G772" s="39" t="n">
        <x:v>46152</x:v>
      </x:c>
      <x:c r="H772" s="16" t="str">
        <x:v>05/2026</x:v>
      </x:c>
      <x:c r="I772" s="40" t="n">
        <x:v>442.79</x:v>
      </x:c>
      <x:c r="J772" s="40" t="n">
        <x:v>465.2</x:v>
      </x:c>
      <x:c r="K772" s="16" t="str">
        <x:v>Novo</x:v>
      </x:c>
      <x:c r="L772" s="16" t="str">
        <x:v>Em aberto</x:v>
      </x:c>
      <x:c r="M772" s="16" t="str">
        <x:v>ffa67f42-846e-4114-833a-b8ba581f3b9c</x:v>
      </x:c>
      <x:c r="N772" s="41" t="str"/>
    </x:row>
    <x:row r="773">
      <x:c r="A773" s="37" t="str">
        <x:f>"001502"</x:f>
        <x:v>001502</x:v>
      </x:c>
      <x:c r="B773" s="38" t="str">
        <x:f>"RES"</x:f>
        <x:v>RES</x:v>
      </x:c>
      <x:c r="C773" s="38" t="str">
        <x:v>MARIA INEZ ENGLESIAS</x:v>
      </x:c>
      <x:c r="D773" s="38" t="str">
        <x:f>""</x:f>
      </x:c>
      <x:c r="E773" s="38" t="str">
        <x:f>""</x:f>
      </x:c>
      <x:c r="F773" s="38" t="str"/>
      <x:c r="G773" s="39" t="n">
        <x:v>46183</x:v>
      </x:c>
      <x:c r="H773" s="16" t="str">
        <x:v>06/2026</x:v>
      </x:c>
      <x:c r="I773" s="40" t="n">
        <x:v>473.45</x:v>
      </x:c>
      <x:c r="J773" s="40" t="n">
        <x:v>492.57</x:v>
      </x:c>
      <x:c r="K773" s="16" t="str">
        <x:v>Novo</x:v>
      </x:c>
      <x:c r="L773" s="16" t="str">
        <x:v>Em aberto</x:v>
      </x:c>
      <x:c r="M773" s="16" t="str">
        <x:v>70cdfc25-3ee8-4810-a027-383a15558d66</x:v>
      </x:c>
      <x:c r="N773" s="41" t="str"/>
    </x:row>
    <x:row r="774">
      <x:c r="A774" s="37" t="str">
        <x:f>"001502"</x:f>
        <x:v>001502</x:v>
      </x:c>
      <x:c r="B774" s="38" t="str">
        <x:f>"RES"</x:f>
        <x:v>RES</x:v>
      </x:c>
      <x:c r="C774" s="38" t="str">
        <x:v>MARIA INEZ ENGLESIAS</x:v>
      </x:c>
      <x:c r="D774" s="38" t="str">
        <x:f>""</x:f>
      </x:c>
      <x:c r="E774" s="38" t="str">
        <x:f>""</x:f>
      </x:c>
      <x:c r="F774" s="38" t="str"/>
      <x:c r="G774" s="39" t="n">
        <x:v>46213</x:v>
      </x:c>
      <x:c r="H774" s="16" t="str">
        <x:v>07/2026</x:v>
      </x:c>
      <x:c r="I774" s="40" t="n">
        <x:v>478.36</x:v>
      </x:c>
      <x:c r="J774" s="40" t="n">
        <x:v>492.81</x:v>
      </x:c>
      <x:c r="K774" s="16" t="str">
        <x:v>Novo</x:v>
      </x:c>
      <x:c r="L774" s="16" t="str">
        <x:v>Em aberto</x:v>
      </x:c>
      <x:c r="M774" s="16" t="str">
        <x:v>d0e0f46f-3237-4e4a-aeef-8ee076b0ad53</x:v>
      </x:c>
      <x:c r="N774" s="41" t="str"/>
    </x:row>
    <x:row r="775">
      <x:c r="A775" s="42" t="str">
        <x:f>"002207"</x:f>
        <x:v>002207</x:v>
      </x:c>
      <x:c r="B775" s="43" t="str">
        <x:f>"RES"</x:f>
        <x:v>RES</x:v>
      </x:c>
      <x:c r="C775" s="43" t="str">
        <x:v>HE QIUMEI</x:v>
      </x:c>
      <x:c r="D775" s="43" t="str">
        <x:f>""</x:f>
      </x:c>
      <x:c r="E775" s="43" t="str">
        <x:f>""</x:f>
      </x:c>
      <x:c r="F775" s="43" t="str"/>
      <x:c r="G775" s="44" t="n">
        <x:v>46122</x:v>
      </x:c>
      <x:c r="H775" s="20" t="str">
        <x:v>04/2026</x:v>
      </x:c>
      <x:c r="I775" s="45" t="n">
        <x:v>1292.97</x:v>
      </x:c>
      <x:c r="J775" s="45" t="n">
        <x:v>1397.37</x:v>
      </x:c>
      <x:c r="K775" s="20" t="str">
        <x:v>Novo</x:v>
      </x:c>
      <x:c r="L775" s="20" t="str">
        <x:v>Em aberto</x:v>
      </x:c>
      <x:c r="M775" s="20" t="str">
        <x:v>5bd9e504-8894-4981-92b0-99a70f94fd0f</x:v>
      </x:c>
      <x:c r="N775" s="46" t="str"/>
    </x:row>
    <x:row r="776">
      <x:c r="A776" s="47" t="str">
        <x:v>Subtotal</x:v>
      </x:c>
      <x:c r="B776" s="47" t="str"/>
      <x:c r="C776" s="47" t="str"/>
      <x:c r="D776" s="47" t="str"/>
      <x:c r="E776" s="47" t="str"/>
      <x:c r="F776" s="47" t="str"/>
      <x:c r="G776" s="47" t="str"/>
      <x:c r="H776" s="47" t="str"/>
      <x:c r="I776" s="47" t="str"/>
      <x:c r="J776" s="48" t="n">
        <x:v>7642.99</x:v>
      </x:c>
      <x:c r="K776" s="47" t="str">
        <x:v>11 novas</x:v>
      </x:c>
      <x:c r="L776" s="47" t="str">
        <x:v>0 ativas</x:v>
      </x:c>
      <x:c r="M776" s="47" t="str"/>
      <x:c r="N776" s="47" t="str"/>
    </x:row>
    <x:row r="778">
      <x:c r="A778" s="26" t="str">
        <x:v>CONDOMÍNIO MAISON D'ORSAY</x:v>
      </x:c>
      <x:c r="B778" s="26"/>
      <x:c r="C778" s="26"/>
      <x:c r="D778" s="26"/>
      <x:c r="E778" s="26"/>
      <x:c r="F778" s="26"/>
      <x:c r="G778" s="26"/>
      <x:c r="H778" s="26"/>
      <x:c r="I778" s="26"/>
      <x:c r="J778" s="26"/>
      <x:c r="K778" s="26"/>
      <x:c r="L778" s="26"/>
      <x:c r="M778" s="26"/>
      <x:c r="N778" s="26"/>
    </x:row>
    <x:row r="779">
      <x:c r="A779" s="28" t="str">
        <x:v>CNPJ</x:v>
      </x:c>
      <x:c r="B779" s="28" t="str">
        <x:v>07.439.062/0001-43</x:v>
      </x:c>
      <x:c r="C779" s="28"/>
      <x:c r="D779" s="28" t="str">
        <x:v>Dia de vencimento</x:v>
      </x:c>
      <x:c r="E779" s="28" t="n">
        <x:v>7</x:v>
      </x:c>
      <x:c r="F779" s="28" t="str">
        <x:v>Régua</x:v>
      </x:c>
      <x:c r="G779" s="28" t="str">
        <x:v>D+90 · pré-jurídico em D+120</x:v>
      </x:c>
      <x:c r="H779" s="28"/>
      <x:c r="I779" s="28"/>
      <x:c r="J779" s="28"/>
      <x:c r="K779" s="28"/>
      <x:c r="L779" s="28"/>
      <x:c r="M779" s="28"/>
      <x:c r="N779" s="28"/>
    </x:row>
    <x:row r="780">
      <x:c r="A780" s="9" t="str">
        <x:v>Unidade</x:v>
      </x:c>
      <x:c r="B780" s="9" t="str">
        <x:v>Bloco</x:v>
      </x:c>
      <x:c r="C780" s="9" t="str">
        <x:v>Responsável</x:v>
      </x:c>
      <x:c r="D780" s="9" t="str">
        <x:v>Documento</x:v>
      </x:c>
      <x:c r="E780" s="9" t="str">
        <x:v>Telefone</x:v>
      </x:c>
      <x:c r="F780" s="9" t="str">
        <x:v>E-mail</x:v>
      </x:c>
      <x:c r="G780" s="9" t="str">
        <x:v>Vencimento</x:v>
      </x:c>
      <x:c r="H780" s="9" t="str">
        <x:v>Competência</x:v>
      </x:c>
      <x:c r="I780" s="9" t="str">
        <x:v>Valor original</x:v>
      </x:c>
      <x:c r="J780" s="9" t="str">
        <x:v>Valor atualizado</x:v>
      </x:c>
      <x:c r="K780" s="9" t="str">
        <x:v>Status operacional</x:v>
      </x:c>
      <x:c r="L780" s="9" t="str">
        <x:v>Status financeiro</x:v>
      </x:c>
      <x:c r="M780" s="9" t="str">
        <x:v>ID cobrança</x:v>
      </x:c>
      <x:c r="N780" s="9" t="str">
        <x:v>Observação</x:v>
      </x:c>
    </x:row>
    <x:row r="781">
      <x:c r="A781" s="49" t="str">
        <x:f>"000102"</x:f>
        <x:v>000102</x:v>
      </x:c>
      <x:c r="B781" s="50" t="str">
        <x:f>"0"</x:f>
        <x:v>0</x:v>
      </x:c>
      <x:c r="C781" s="50" t="str">
        <x:v>CELSO ALEXANDRE GUIMARAES</x:v>
      </x:c>
      <x:c r="D781" s="50" t="str">
        <x:f>"13510157885"</x:f>
        <x:v>13510157885</x:v>
      </x:c>
      <x:c r="E781" s="50" t="str">
        <x:f>"11999703271"</x:f>
        <x:v>11999703271</x:v>
      </x:c>
      <x:c r="F781" s="50" t="str">
        <x:v>sofiayukosato@gmail.com</x:v>
      </x:c>
      <x:c r="G781" s="51" t="n">
        <x:v>46119</x:v>
      </x:c>
      <x:c r="H781" s="52" t="str">
        <x:v>04/2026</x:v>
      </x:c>
      <x:c r="I781" s="53" t="n">
        <x:v>1585.7</x:v>
      </x:c>
      <x:c r="J781" s="53" t="n">
        <x:v>1713.75</x:v>
      </x:c>
      <x:c r="K781" s="52" t="str">
        <x:v>Novo</x:v>
      </x:c>
      <x:c r="L781" s="52" t="str">
        <x:v>Em aberto</x:v>
      </x:c>
      <x:c r="M781" s="52" t="str">
        <x:v>29abb82c-0ce6-495e-a298-57ac9bb0dcc8</x:v>
      </x:c>
      <x:c r="N781" s="54" t="str"/>
    </x:row>
    <x:row r="782">
      <x:c r="A782" s="47" t="str">
        <x:v>Subtotal</x:v>
      </x:c>
      <x:c r="B782" s="47" t="str"/>
      <x:c r="C782" s="47" t="str"/>
      <x:c r="D782" s="47" t="str"/>
      <x:c r="E782" s="47" t="str"/>
      <x:c r="F782" s="47" t="str"/>
      <x:c r="G782" s="47" t="str"/>
      <x:c r="H782" s="47" t="str"/>
      <x:c r="I782" s="47" t="str"/>
      <x:c r="J782" s="48" t="n">
        <x:v>1713.75</x:v>
      </x:c>
      <x:c r="K782" s="47" t="str">
        <x:v>1 novas</x:v>
      </x:c>
      <x:c r="L782" s="47" t="str">
        <x:v>0 ativas</x:v>
      </x:c>
      <x:c r="M782" s="47" t="str"/>
      <x:c r="N782" s="47" t="str"/>
    </x:row>
    <x:row r="784">
      <x:c r="A784" s="26" t="str">
        <x:v>CONDOMÍNIO NEW WAY</x:v>
      </x:c>
      <x:c r="B784" s="26"/>
      <x:c r="C784" s="26"/>
      <x:c r="D784" s="26"/>
      <x:c r="E784" s="26"/>
      <x:c r="F784" s="26"/>
      <x:c r="G784" s="26"/>
      <x:c r="H784" s="26"/>
      <x:c r="I784" s="26"/>
      <x:c r="J784" s="26"/>
      <x:c r="K784" s="26"/>
      <x:c r="L784" s="26"/>
      <x:c r="M784" s="26"/>
      <x:c r="N784" s="26"/>
    </x:row>
    <x:row r="785">
      <x:c r="A785" s="28" t="str">
        <x:v>CNPJ</x:v>
      </x:c>
      <x:c r="B785" s="28" t="str">
        <x:v>23.896.621/0001-09</x:v>
      </x:c>
      <x:c r="C785" s="28"/>
      <x:c r="D785" s="28" t="str">
        <x:v>Dia de vencimento</x:v>
      </x:c>
      <x:c r="E785" s="28" t="n">
        <x:v>10</x:v>
      </x:c>
      <x:c r="F785" s="28" t="str">
        <x:v>Régua</x:v>
      </x:c>
      <x:c r="G785" s="28" t="str">
        <x:v>D+60 · pré-jurídico em D+90</x:v>
      </x:c>
      <x:c r="H785" s="28"/>
      <x:c r="I785" s="28"/>
      <x:c r="J785" s="28"/>
      <x:c r="K785" s="28"/>
      <x:c r="L785" s="28"/>
      <x:c r="M785" s="28"/>
      <x:c r="N785" s="28"/>
    </x:row>
    <x:row r="786">
      <x:c r="A786" s="9" t="str">
        <x:v>Unidade</x:v>
      </x:c>
      <x:c r="B786" s="9" t="str">
        <x:v>Bloco</x:v>
      </x:c>
      <x:c r="C786" s="9" t="str">
        <x:v>Responsável</x:v>
      </x:c>
      <x:c r="D786" s="9" t="str">
        <x:v>Documento</x:v>
      </x:c>
      <x:c r="E786" s="9" t="str">
        <x:v>Telefone</x:v>
      </x:c>
      <x:c r="F786" s="9" t="str">
        <x:v>E-mail</x:v>
      </x:c>
      <x:c r="G786" s="9" t="str">
        <x:v>Vencimento</x:v>
      </x:c>
      <x:c r="H786" s="9" t="str">
        <x:v>Competência</x:v>
      </x:c>
      <x:c r="I786" s="9" t="str">
        <x:v>Valor original</x:v>
      </x:c>
      <x:c r="J786" s="9" t="str">
        <x:v>Valor atualizado</x:v>
      </x:c>
      <x:c r="K786" s="9" t="str">
        <x:v>Status operacional</x:v>
      </x:c>
      <x:c r="L786" s="9" t="str">
        <x:v>Status financeiro</x:v>
      </x:c>
      <x:c r="M786" s="9" t="str">
        <x:v>ID cobrança</x:v>
      </x:c>
      <x:c r="N786" s="9" t="str">
        <x:v>Observação</x:v>
      </x:c>
    </x:row>
    <x:row r="787">
      <x:c r="A787" s="31" t="str">
        <x:f>"001410"</x:f>
        <x:v>001410</x:v>
      </x:c>
      <x:c r="B787" s="32" t="str">
        <x:f>"0"</x:f>
        <x:v>0</x:v>
      </x:c>
      <x:c r="C787" s="32" t="str">
        <x:v>JACY EVANGELISTA</x:v>
      </x:c>
      <x:c r="D787" s="32" t="str">
        <x:f>"32960700872"</x:f>
        <x:v>32960700872</x:v>
      </x:c>
      <x:c r="E787" s="32" t="str">
        <x:f>"11993393201"</x:f>
        <x:v>11993393201</x:v>
      </x:c>
      <x:c r="F787" s="32" t="str">
        <x:v>pedroevangelista67@gmail.com</x:v>
      </x:c>
      <x:c r="G787" s="33" t="n">
        <x:v>46152</x:v>
      </x:c>
      <x:c r="H787" s="34" t="str">
        <x:v>05/2026</x:v>
      </x:c>
      <x:c r="I787" s="35" t="n">
        <x:v>589.91</x:v>
      </x:c>
      <x:c r="J787" s="35" t="n">
        <x:v>618.61</x:v>
      </x:c>
      <x:c r="K787" s="34" t="str">
        <x:v>Em cobrança ativa</x:v>
      </x:c>
      <x:c r="L787" s="34" t="str">
        <x:v>Em aberto</x:v>
      </x:c>
      <x:c r="M787" s="34" t="str">
        <x:v>2dfb62f3-3469-4336-839c-a898d96dcd4f</x:v>
      </x:c>
      <x:c r="N787" s="36" t="str"/>
    </x:row>
    <x:row r="788">
      <x:c r="A788" s="37" t="str">
        <x:f>"000216"</x:f>
        <x:v>000216</x:v>
      </x:c>
      <x:c r="B788" s="38" t="str">
        <x:f>"0"</x:f>
        <x:v>0</x:v>
      </x:c>
      <x:c r="C788" s="38" t="str">
        <x:v>INGRID TAIS DE SOUZA SILVA</x:v>
      </x:c>
      <x:c r="D788" s="38" t="str">
        <x:f>"44005518818"</x:f>
        <x:v>44005518818</x:v>
      </x:c>
      <x:c r="E788" s="38" t="str">
        <x:f>"1977338132"</x:f>
        <x:v>1977338132</x:v>
      </x:c>
      <x:c r="F788" s="38" t="str">
        <x:v>ingridtais_@hotmail.com</x:v>
      </x:c>
      <x:c r="G788" s="39" t="n">
        <x:v>46032</x:v>
      </x:c>
      <x:c r="H788" s="16" t="str">
        <x:v>01/2026</x:v>
      </x:c>
      <x:c r="I788" s="40" t="n">
        <x:v>848.26</x:v>
      </x:c>
      <x:c r="J788" s="40" t="n">
        <x:v>958.29</x:v>
      </x:c>
      <x:c r="K788" s="16" t="str">
        <x:v>Novo</x:v>
      </x:c>
      <x:c r="L788" s="16" t="str">
        <x:v>Em aberto</x:v>
      </x:c>
      <x:c r="M788" s="16" t="str">
        <x:v>79788e2a-b7f6-47eb-85f3-153f7b921d95</x:v>
      </x:c>
      <x:c r="N788" s="41" t="str"/>
    </x:row>
    <x:row r="789">
      <x:c r="A789" s="37" t="str">
        <x:f>"000216"</x:f>
        <x:v>000216</x:v>
      </x:c>
      <x:c r="B789" s="38" t="str">
        <x:f>"0"</x:f>
        <x:v>0</x:v>
      </x:c>
      <x:c r="C789" s="38" t="str">
        <x:v>INGRID TAIS DE SOUZA SILVA</x:v>
      </x:c>
      <x:c r="D789" s="38" t="str">
        <x:f>"44005518818"</x:f>
        <x:v>44005518818</x:v>
      </x:c>
      <x:c r="E789" s="38" t="str">
        <x:f>"1977338132"</x:f>
        <x:v>1977338132</x:v>
      </x:c>
      <x:c r="F789" s="38" t="str">
        <x:v>ingridtais_@hotmail.com</x:v>
      </x:c>
      <x:c r="G789" s="39" t="n">
        <x:v>46063</x:v>
      </x:c>
      <x:c r="H789" s="16" t="str">
        <x:v>02/2026</x:v>
      </x:c>
      <x:c r="I789" s="40" t="n">
        <x:v>1095.95</x:v>
      </x:c>
      <x:c r="J789" s="40" t="n">
        <x:v>1221.73</x:v>
      </x:c>
      <x:c r="K789" s="16" t="str">
        <x:v>Novo</x:v>
      </x:c>
      <x:c r="L789" s="16" t="str">
        <x:v>Em aberto</x:v>
      </x:c>
      <x:c r="M789" s="16" t="str">
        <x:v>0d9797e2-11c9-49ef-9ea4-12e91091f80f</x:v>
      </x:c>
      <x:c r="N789" s="41" t="str"/>
    </x:row>
    <x:row r="790">
      <x:c r="A790" s="37" t="str">
        <x:f>"000216"</x:f>
        <x:v>000216</x:v>
      </x:c>
      <x:c r="B790" s="38" t="str">
        <x:f>"0"</x:f>
        <x:v>0</x:v>
      </x:c>
      <x:c r="C790" s="38" t="str">
        <x:v>INGRID TAIS DE SOUZA SILVA</x:v>
      </x:c>
      <x:c r="D790" s="38" t="str">
        <x:f>"44005518818"</x:f>
        <x:v>44005518818</x:v>
      </x:c>
      <x:c r="E790" s="38" t="str">
        <x:f>"1977338132"</x:f>
        <x:v>1977338132</x:v>
      </x:c>
      <x:c r="F790" s="38" t="str">
        <x:v>ingridtais_@hotmail.com</x:v>
      </x:c>
      <x:c r="G790" s="39" t="n">
        <x:v>46122</x:v>
      </x:c>
      <x:c r="H790" s="16" t="str">
        <x:v>04/2026</x:v>
      </x:c>
      <x:c r="I790" s="40" t="n">
        <x:v>1326.55</x:v>
      </x:c>
      <x:c r="J790" s="40" t="n">
        <x:v>1429.82</x:v>
      </x:c>
      <x:c r="K790" s="16" t="str">
        <x:v>Novo</x:v>
      </x:c>
      <x:c r="L790" s="16" t="str">
        <x:v>Em aberto</x:v>
      </x:c>
      <x:c r="M790" s="16" t="str">
        <x:v>dabf56b0-8935-4574-955b-65badfee2682</x:v>
      </x:c>
      <x:c r="N790" s="41" t="str"/>
    </x:row>
    <x:row r="791">
      <x:c r="A791" s="37" t="str">
        <x:f>"000216"</x:f>
        <x:v>000216</x:v>
      </x:c>
      <x:c r="B791" s="38" t="str">
        <x:f>"0"</x:f>
        <x:v>0</x:v>
      </x:c>
      <x:c r="C791" s="38" t="str">
        <x:v>INGRID TAIS DE SOUZA SILVA</x:v>
      </x:c>
      <x:c r="D791" s="38" t="str">
        <x:f>"44005518818"</x:f>
        <x:v>44005518818</x:v>
      </x:c>
      <x:c r="E791" s="38" t="str">
        <x:f>"1977338132"</x:f>
        <x:v>1977338132</x:v>
      </x:c>
      <x:c r="F791" s="38" t="str">
        <x:v>ingridtais_@hotmail.com</x:v>
      </x:c>
      <x:c r="G791" s="39" t="n">
        <x:v>46152</x:v>
      </x:c>
      <x:c r="H791" s="16" t="str">
        <x:v>05/2026</x:v>
      </x:c>
      <x:c r="I791" s="40" t="n">
        <x:v>1147.47</x:v>
      </x:c>
      <x:c r="J791" s="40" t="n">
        <x:v>1203.27</x:v>
      </x:c>
      <x:c r="K791" s="16" t="str">
        <x:v>Novo</x:v>
      </x:c>
      <x:c r="L791" s="16" t="str">
        <x:v>Em aberto</x:v>
      </x:c>
      <x:c r="M791" s="16" t="str">
        <x:v>fb6508cd-e51b-41e4-8d85-2cb505f02a05</x:v>
      </x:c>
      <x:c r="N791" s="41" t="str"/>
    </x:row>
    <x:row r="792">
      <x:c r="A792" s="37" t="str">
        <x:f>"000401"</x:f>
        <x:v>000401</x:v>
      </x:c>
      <x:c r="B792" s="38" t="str">
        <x:f>"0"</x:f>
        <x:v>0</x:v>
      </x:c>
      <x:c r="C792" s="38" t="str">
        <x:v>RODOLFO LEONARDO VALENTIM MARCILINO</x:v>
      </x:c>
      <x:c r="D792" s="38" t="str">
        <x:f>""</x:f>
      </x:c>
      <x:c r="E792" s="38" t="str">
        <x:f>""</x:f>
      </x:c>
      <x:c r="F792" s="38" t="str"/>
      <x:c r="G792" s="39" t="n">
        <x:v>46122</x:v>
      </x:c>
      <x:c r="H792" s="16" t="str">
        <x:v>04/2026</x:v>
      </x:c>
      <x:c r="I792" s="40" t="n">
        <x:v>905.76</x:v>
      </x:c>
      <x:c r="J792" s="40" t="n">
        <x:v>976.28</x:v>
      </x:c>
      <x:c r="K792" s="16" t="str">
        <x:v>Novo</x:v>
      </x:c>
      <x:c r="L792" s="16" t="str">
        <x:v>Em aberto</x:v>
      </x:c>
      <x:c r="M792" s="16" t="str">
        <x:v>f5de7bf1-f80b-412a-9602-d6a4e3126d74</x:v>
      </x:c>
      <x:c r="N792" s="41" t="str"/>
    </x:row>
    <x:row r="793">
      <x:c r="A793" s="37" t="str">
        <x:f>"000507"</x:f>
        <x:v>000507</x:v>
      </x:c>
      <x:c r="B793" s="38" t="str">
        <x:f>"0"</x:f>
        <x:v>0</x:v>
      </x:c>
      <x:c r="C793" s="38" t="str">
        <x:v>CARLOS LUIZ THOMAZ GONÇALVES NETTO</x:v>
      </x:c>
      <x:c r="D793" s="38" t="str">
        <x:f>"81838751815"</x:f>
        <x:v>81838751815</x:v>
      </x:c>
      <x:c r="E793" s="38" t="str">
        <x:f>"1123030221"</x:f>
        <x:v>1123030221</x:v>
      </x:c>
      <x:c r="F793" s="38" t="str">
        <x:v>carlosluiznetto@gmail.com</x:v>
      </x:c>
      <x:c r="G793" s="39" t="n">
        <x:v>46152</x:v>
      </x:c>
      <x:c r="H793" s="16" t="str">
        <x:v>05/2026</x:v>
      </x:c>
      <x:c r="I793" s="40" t="n">
        <x:v>1463.8</x:v>
      </x:c>
      <x:c r="J793" s="40" t="n">
        <x:v>1534.98</x:v>
      </x:c>
      <x:c r="K793" s="16" t="str">
        <x:v>Novo</x:v>
      </x:c>
      <x:c r="L793" s="16" t="str">
        <x:v>Em aberto</x:v>
      </x:c>
      <x:c r="M793" s="16" t="str">
        <x:v>394380fb-9bee-41e1-8383-2c682cc622e1</x:v>
      </x:c>
      <x:c r="N793" s="41" t="str"/>
    </x:row>
    <x:row r="794">
      <x:c r="A794" s="37" t="str">
        <x:f>"000613"</x:f>
        <x:v>000613</x:v>
      </x:c>
      <x:c r="B794" s="38" t="str">
        <x:f>"0"</x:f>
        <x:v>0</x:v>
      </x:c>
      <x:c r="C794" s="38" t="str">
        <x:v>ROGERIO PINHEIRO BARRA</x:v>
      </x:c>
      <x:c r="D794" s="38" t="str">
        <x:f>"34765961842"</x:f>
        <x:v>34765961842</x:v>
      </x:c>
      <x:c r="E794" s="38" t="str">
        <x:f>"1132572066"</x:f>
        <x:v>1132572066</x:v>
      </x:c>
      <x:c r="F794" s="38" t="str">
        <x:v>beatrizaraujodossantos134@gmail.com</x:v>
      </x:c>
      <x:c r="G794" s="39" t="n">
        <x:v>46063</x:v>
      </x:c>
      <x:c r="H794" s="16" t="str">
        <x:v>02/2026</x:v>
      </x:c>
      <x:c r="I794" s="40" t="n">
        <x:v>150.71</x:v>
      </x:c>
      <x:c r="J794" s="40" t="n">
        <x:v>168</x:v>
      </x:c>
      <x:c r="K794" s="16" t="str">
        <x:v>Novo</x:v>
      </x:c>
      <x:c r="L794" s="16" t="str">
        <x:v>Em aberto</x:v>
      </x:c>
      <x:c r="M794" s="16" t="str">
        <x:v>f675ddaf-e7e4-40d6-b3ff-79f645b5472b</x:v>
      </x:c>
      <x:c r="N794" s="41" t="str"/>
    </x:row>
    <x:row r="795">
      <x:c r="A795" s="37" t="str">
        <x:f>"000613"</x:f>
        <x:v>000613</x:v>
      </x:c>
      <x:c r="B795" s="38" t="str">
        <x:f>"0"</x:f>
        <x:v>0</x:v>
      </x:c>
      <x:c r="C795" s="38" t="str">
        <x:v>ROGERIO PINHEIRO BARRA</x:v>
      </x:c>
      <x:c r="D795" s="38" t="str">
        <x:f>"34765961842"</x:f>
        <x:v>34765961842</x:v>
      </x:c>
      <x:c r="E795" s="38" t="str">
        <x:f>"1132572066"</x:f>
        <x:v>1132572066</x:v>
      </x:c>
      <x:c r="F795" s="38" t="str">
        <x:v>beatrizaraujodossantos134@gmail.com</x:v>
      </x:c>
      <x:c r="G795" s="39" t="n">
        <x:v>46091</x:v>
      </x:c>
      <x:c r="H795" s="16" t="str">
        <x:v>03/2026</x:v>
      </x:c>
      <x:c r="I795" s="40" t="n">
        <x:v>868.05</x:v>
      </x:c>
      <x:c r="J795" s="40" t="n">
        <x:v>953.22</x:v>
      </x:c>
      <x:c r="K795" s="16" t="str">
        <x:v>Novo</x:v>
      </x:c>
      <x:c r="L795" s="16" t="str">
        <x:v>Em aberto</x:v>
      </x:c>
      <x:c r="M795" s="16" t="str">
        <x:v>5dad8ed8-2357-4544-b995-826f8b76ac9b</x:v>
      </x:c>
      <x:c r="N795" s="41" t="str"/>
    </x:row>
    <x:row r="796">
      <x:c r="A796" s="37" t="str">
        <x:f>"000613"</x:f>
        <x:v>000613</x:v>
      </x:c>
      <x:c r="B796" s="38" t="str">
        <x:f>"0"</x:f>
        <x:v>0</x:v>
      </x:c>
      <x:c r="C796" s="38" t="str">
        <x:v>ROGERIO PINHEIRO BARRA</x:v>
      </x:c>
      <x:c r="D796" s="38" t="str">
        <x:f>"34765961842"</x:f>
        <x:v>34765961842</x:v>
      </x:c>
      <x:c r="E796" s="38" t="str">
        <x:f>"1132572066"</x:f>
        <x:v>1132572066</x:v>
      </x:c>
      <x:c r="F796" s="38" t="str">
        <x:v>beatrizaraujodossantos134@gmail.com</x:v>
      </x:c>
      <x:c r="G796" s="39" t="n">
        <x:v>46122</x:v>
      </x:c>
      <x:c r="H796" s="16" t="str">
        <x:v>04/2026</x:v>
      </x:c>
      <x:c r="I796" s="40" t="n">
        <x:v>1410.48</x:v>
      </x:c>
      <x:c r="J796" s="40" t="n">
        <x:v>1520.31</x:v>
      </x:c>
      <x:c r="K796" s="16" t="str">
        <x:v>Novo</x:v>
      </x:c>
      <x:c r="L796" s="16" t="str">
        <x:v>Em aberto</x:v>
      </x:c>
      <x:c r="M796" s="16" t="str">
        <x:v>4efc29ab-50c1-49db-8004-db03defe6e4d</x:v>
      </x:c>
      <x:c r="N796" s="41" t="str"/>
    </x:row>
    <x:row r="797">
      <x:c r="A797" s="37" t="str">
        <x:f>"000613"</x:f>
        <x:v>000613</x:v>
      </x:c>
      <x:c r="B797" s="38" t="str">
        <x:f>"0"</x:f>
        <x:v>0</x:v>
      </x:c>
      <x:c r="C797" s="38" t="str">
        <x:v>ROGERIO PINHEIRO BARRA</x:v>
      </x:c>
      <x:c r="D797" s="38" t="str">
        <x:f>"34765961842"</x:f>
        <x:v>34765961842</x:v>
      </x:c>
      <x:c r="E797" s="38" t="str">
        <x:f>"1132572066"</x:f>
        <x:v>1132572066</x:v>
      </x:c>
      <x:c r="F797" s="38" t="str">
        <x:v>beatrizaraujodossantos134@gmail.com</x:v>
      </x:c>
      <x:c r="G797" s="39" t="n">
        <x:v>46152</x:v>
      </x:c>
      <x:c r="H797" s="16" t="str">
        <x:v>05/2026</x:v>
      </x:c>
      <x:c r="I797" s="40" t="n">
        <x:v>1069.25</x:v>
      </x:c>
      <x:c r="J797" s="40" t="n">
        <x:v>1121.25</x:v>
      </x:c>
      <x:c r="K797" s="16" t="str">
        <x:v>Novo</x:v>
      </x:c>
      <x:c r="L797" s="16" t="str">
        <x:v>Em aberto</x:v>
      </x:c>
      <x:c r="M797" s="16" t="str">
        <x:v>59b3d0c1-0670-4500-b84b-015c889d85d2</x:v>
      </x:c>
      <x:c r="N797" s="41" t="str"/>
    </x:row>
    <x:row r="798">
      <x:c r="A798" s="37" t="str">
        <x:f>"000613"</x:f>
        <x:v>000613</x:v>
      </x:c>
      <x:c r="B798" s="38" t="str">
        <x:f>"0"</x:f>
        <x:v>0</x:v>
      </x:c>
      <x:c r="C798" s="38" t="str">
        <x:v>ROGERIO PINHEIRO BARRA</x:v>
      </x:c>
      <x:c r="D798" s="38" t="str">
        <x:f>"34765961842"</x:f>
        <x:v>34765961842</x:v>
      </x:c>
      <x:c r="E798" s="38" t="str">
        <x:f>"1132572066"</x:f>
        <x:v>1132572066</x:v>
      </x:c>
      <x:c r="F798" s="38" t="str">
        <x:v>beatrizaraujodossantos134@gmail.com</x:v>
      </x:c>
      <x:c r="G798" s="39" t="n">
        <x:v>46183</x:v>
      </x:c>
      <x:c r="H798" s="16" t="str">
        <x:v>06/2026</x:v>
      </x:c>
      <x:c r="I798" s="40" t="n">
        <x:v>1109.22</x:v>
      </x:c>
      <x:c r="J798" s="40" t="n">
        <x:v>1155.64</x:v>
      </x:c>
      <x:c r="K798" s="16" t="str">
        <x:v>Novo</x:v>
      </x:c>
      <x:c r="L798" s="16" t="str">
        <x:v>Em aberto</x:v>
      </x:c>
      <x:c r="M798" s="16" t="str">
        <x:v>a9674e8b-8416-4650-a099-6f934b4bf429</x:v>
      </x:c>
      <x:c r="N798" s="41" t="str"/>
    </x:row>
    <x:row r="799">
      <x:c r="A799" s="37" t="str">
        <x:f>"000711"</x:f>
        <x:v>000711</x:v>
      </x:c>
      <x:c r="B799" s="38" t="str">
        <x:f>"0"</x:f>
        <x:v>0</x:v>
      </x:c>
      <x:c r="C799" s="38" t="str">
        <x:v>VALDIR SZNICK</x:v>
      </x:c>
      <x:c r="D799" s="38" t="str">
        <x:f>"03015149849"</x:f>
        <x:v>03015149849</x:v>
      </x:c>
      <x:c r="E799" s="38" t="str">
        <x:f>"11986226212"</x:f>
        <x:v>11986226212</x:v>
      </x:c>
      <x:c r="F799" s="38" t="str">
        <x:v>enzodellasanta_adv@hotmail.com</x:v>
      </x:c>
      <x:c r="G799" s="39" t="n">
        <x:v>46122</x:v>
      </x:c>
      <x:c r="H799" s="16" t="str">
        <x:v>04/2026</x:v>
      </x:c>
      <x:c r="I799" s="40" t="n">
        <x:v>1076.14</x:v>
      </x:c>
      <x:c r="J799" s="40" t="n">
        <x:v>1159.93</x:v>
      </x:c>
      <x:c r="K799" s="16" t="str">
        <x:v>Novo</x:v>
      </x:c>
      <x:c r="L799" s="16" t="str">
        <x:v>Em aberto</x:v>
      </x:c>
      <x:c r="M799" s="16" t="str">
        <x:v>fa908d93-0238-4f8e-83ae-e67b8125761b</x:v>
      </x:c>
      <x:c r="N799" s="41" t="str"/>
    </x:row>
    <x:row r="800">
      <x:c r="A800" s="37" t="str">
        <x:f>"000711"</x:f>
        <x:v>000711</x:v>
      </x:c>
      <x:c r="B800" s="38" t="str">
        <x:f>"0"</x:f>
        <x:v>0</x:v>
      </x:c>
      <x:c r="C800" s="38" t="str">
        <x:v>VALDIR SZNICK</x:v>
      </x:c>
      <x:c r="D800" s="38" t="str">
        <x:f>"03015149849"</x:f>
        <x:v>03015149849</x:v>
      </x:c>
      <x:c r="E800" s="38" t="str">
        <x:f>"11986226212"</x:f>
        <x:v>11986226212</x:v>
      </x:c>
      <x:c r="F800" s="38" t="str">
        <x:v>enzodellasanta_adv@hotmail.com</x:v>
      </x:c>
      <x:c r="G800" s="39" t="n">
        <x:v>46183</x:v>
      </x:c>
      <x:c r="H800" s="16" t="str">
        <x:v>06/2026</x:v>
      </x:c>
      <x:c r="I800" s="40" t="n">
        <x:v>1047.58</x:v>
      </x:c>
      <x:c r="J800" s="40" t="n">
        <x:v>1091.43</x:v>
      </x:c>
      <x:c r="K800" s="16" t="str">
        <x:v>Novo</x:v>
      </x:c>
      <x:c r="L800" s="16" t="str">
        <x:v>Em aberto</x:v>
      </x:c>
      <x:c r="M800" s="16" t="str">
        <x:v>1c9e2292-2d93-4a29-836a-91d769e26aee</x:v>
      </x:c>
      <x:c r="N800" s="41" t="str"/>
    </x:row>
    <x:row r="801">
      <x:c r="A801" s="37" t="str">
        <x:f>"000809"</x:f>
        <x:v>000809</x:v>
      </x:c>
      <x:c r="B801" s="38" t="str">
        <x:f>"0"</x:f>
        <x:v>0</x:v>
      </x:c>
      <x:c r="C801" s="38" t="str">
        <x:v>ENZO MARCULINO DA COSTA</x:v>
      </x:c>
      <x:c r="D801" s="38" t="str">
        <x:f>"32752002831"</x:f>
        <x:v>32752002831</x:v>
      </x:c>
      <x:c r="E801" s="38" t="str">
        <x:f>"1158517853"</x:f>
        <x:v>1158517853</x:v>
      </x:c>
      <x:c r="F801" s="38" t="str">
        <x:v>marculinoenzo.costa@gmail.com</x:v>
      </x:c>
      <x:c r="G801" s="39" t="n">
        <x:v>46091</x:v>
      </x:c>
      <x:c r="H801" s="16" t="str">
        <x:v>03/2026</x:v>
      </x:c>
      <x:c r="I801" s="40" t="n">
        <x:v>532.08</x:v>
      </x:c>
      <x:c r="J801" s="40" t="n">
        <x:v>584.28</x:v>
      </x:c>
      <x:c r="K801" s="16" t="str">
        <x:v>Novo</x:v>
      </x:c>
      <x:c r="L801" s="16" t="str">
        <x:v>Em aberto</x:v>
      </x:c>
      <x:c r="M801" s="16" t="str">
        <x:v>1f89b33c-c2de-41f1-8c82-f3509f6a3681</x:v>
      </x:c>
      <x:c r="N801" s="41" t="str"/>
    </x:row>
    <x:row r="802">
      <x:c r="A802" s="37" t="str">
        <x:f>"000809"</x:f>
        <x:v>000809</x:v>
      </x:c>
      <x:c r="B802" s="38" t="str">
        <x:f>"0"</x:f>
        <x:v>0</x:v>
      </x:c>
      <x:c r="C802" s="38" t="str">
        <x:v>ENZO MARCULINO DA COSTA</x:v>
      </x:c>
      <x:c r="D802" s="38" t="str">
        <x:f>"32752002831"</x:f>
        <x:v>32752002831</x:v>
      </x:c>
      <x:c r="E802" s="38" t="str">
        <x:f>"1158517853"</x:f>
        <x:v>1158517853</x:v>
      </x:c>
      <x:c r="F802" s="38" t="str">
        <x:v>marculinoenzo.costa@gmail.com</x:v>
      </x:c>
      <x:c r="G802" s="39" t="n">
        <x:v>46122</x:v>
      </x:c>
      <x:c r="H802" s="16" t="str">
        <x:v>04/2026</x:v>
      </x:c>
      <x:c r="I802" s="40" t="n">
        <x:v>695.58</x:v>
      </x:c>
      <x:c r="J802" s="40" t="n">
        <x:v>749.72</x:v>
      </x:c>
      <x:c r="K802" s="16" t="str">
        <x:v>Novo</x:v>
      </x:c>
      <x:c r="L802" s="16" t="str">
        <x:v>Em aberto</x:v>
      </x:c>
      <x:c r="M802" s="16" t="str">
        <x:v>efc5d8e1-fc57-45e0-ba75-b43c6b771a43</x:v>
      </x:c>
      <x:c r="N802" s="41" t="str"/>
    </x:row>
    <x:row r="803">
      <x:c r="A803" s="37" t="str">
        <x:f>"000809"</x:f>
        <x:v>000809</x:v>
      </x:c>
      <x:c r="B803" s="38" t="str">
        <x:f>"0"</x:f>
        <x:v>0</x:v>
      </x:c>
      <x:c r="C803" s="38" t="str">
        <x:v>ENZO MARCULINO DA COSTA</x:v>
      </x:c>
      <x:c r="D803" s="38" t="str">
        <x:f>"32752002831"</x:f>
        <x:v>32752002831</x:v>
      </x:c>
      <x:c r="E803" s="38" t="str">
        <x:f>"1158517853"</x:f>
        <x:v>1158517853</x:v>
      </x:c>
      <x:c r="F803" s="38" t="str">
        <x:v>marculinoenzo.costa@gmail.com</x:v>
      </x:c>
      <x:c r="G803" s="39" t="n">
        <x:v>46152</x:v>
      </x:c>
      <x:c r="H803" s="16" t="str">
        <x:v>05/2026</x:v>
      </x:c>
      <x:c r="I803" s="40" t="n">
        <x:v>621.36</x:v>
      </x:c>
      <x:c r="J803" s="40" t="n">
        <x:v>651.59</x:v>
      </x:c>
      <x:c r="K803" s="16" t="str">
        <x:v>Novo</x:v>
      </x:c>
      <x:c r="L803" s="16" t="str">
        <x:v>Em aberto</x:v>
      </x:c>
      <x:c r="M803" s="16" t="str">
        <x:v>48643abd-3dc7-4a5c-9fae-5c375d9374aa</x:v>
      </x:c>
      <x:c r="N803" s="41" t="str"/>
    </x:row>
    <x:row r="804">
      <x:c r="A804" s="37" t="str">
        <x:f>"000909"</x:f>
        <x:v>000909</x:v>
      </x:c>
      <x:c r="B804" s="38" t="str">
        <x:f>"0"</x:f>
        <x:v>0</x:v>
      </x:c>
      <x:c r="C804" s="38" t="str">
        <x:v>JOSIANE APARECIDA DE LYRA BATISTA</x:v>
      </x:c>
      <x:c r="D804" s="38" t="str">
        <x:f>"52347856880"</x:f>
        <x:v>52347856880</x:v>
      </x:c>
      <x:c r="E804" s="38" t="str">
        <x:f>""</x:f>
      </x:c>
      <x:c r="F804" s="38" t="str">
        <x:v>josiilyra17@icloud.com</x:v>
      </x:c>
      <x:c r="G804" s="39" t="n">
        <x:v>46183</x:v>
      </x:c>
      <x:c r="H804" s="16" t="str">
        <x:v>06/2026</x:v>
      </x:c>
      <x:c r="I804" s="40" t="n">
        <x:v>687.35</x:v>
      </x:c>
      <x:c r="J804" s="40" t="n">
        <x:v>716.11</x:v>
      </x:c>
      <x:c r="K804" s="16" t="str">
        <x:v>Novo</x:v>
      </x:c>
      <x:c r="L804" s="16" t="str">
        <x:v>Em aberto</x:v>
      </x:c>
      <x:c r="M804" s="16" t="str">
        <x:v>b64aa8bb-2db5-49bc-aeb1-8e668a92746c</x:v>
      </x:c>
      <x:c r="N804" s="41" t="str"/>
    </x:row>
    <x:row r="805">
      <x:c r="A805" s="37" t="str">
        <x:f>"000913"</x:f>
        <x:v>000913</x:v>
      </x:c>
      <x:c r="B805" s="38" t="str">
        <x:f>"0"</x:f>
        <x:v>0</x:v>
      </x:c>
      <x:c r="C805" s="38" t="str">
        <x:v>GILCIMAR DE OLIVEIRA MACEDO</x:v>
      </x:c>
      <x:c r="D805" s="38" t="str">
        <x:f>"00964718596"</x:f>
        <x:v>00964718596</x:v>
      </x:c>
      <x:c r="E805" s="38" t="str">
        <x:f>""</x:f>
      </x:c>
      <x:c r="F805" s="38" t="str"/>
      <x:c r="G805" s="39" t="n">
        <x:v>46063</x:v>
      </x:c>
      <x:c r="H805" s="16" t="str">
        <x:v>02/2026</x:v>
      </x:c>
      <x:c r="I805" s="40" t="n">
        <x:v>654.03</x:v>
      </x:c>
      <x:c r="J805" s="40" t="n">
        <x:v>729.11</x:v>
      </x:c>
      <x:c r="K805" s="16" t="str">
        <x:v>Novo</x:v>
      </x:c>
      <x:c r="L805" s="16" t="str">
        <x:v>Em aberto</x:v>
      </x:c>
      <x:c r="M805" s="16" t="str">
        <x:v>a946634b-cdaa-42e5-acfb-42f809d1904a</x:v>
      </x:c>
      <x:c r="N805" s="41" t="str"/>
    </x:row>
    <x:row r="806">
      <x:c r="A806" s="37" t="str">
        <x:f>"000916"</x:f>
        <x:v>000916</x:v>
      </x:c>
      <x:c r="B806" s="38" t="str">
        <x:f>"0"</x:f>
        <x:v>0</x:v>
      </x:c>
      <x:c r="C806" s="38" t="str">
        <x:v>DOUGLAS LOURENÇO MAIA</x:v>
      </x:c>
      <x:c r="D806" s="38" t="str">
        <x:f>""</x:f>
      </x:c>
      <x:c r="E806" s="38" t="str">
        <x:f>""</x:f>
      </x:c>
      <x:c r="F806" s="38" t="str"/>
      <x:c r="G806" s="39" t="n">
        <x:v>46091</x:v>
      </x:c>
      <x:c r="H806" s="16" t="str">
        <x:v>03/2026</x:v>
      </x:c>
      <x:c r="I806" s="40" t="n">
        <x:v>863.28</x:v>
      </x:c>
      <x:c r="J806" s="40" t="n">
        <x:v>947.98</x:v>
      </x:c>
      <x:c r="K806" s="16" t="str">
        <x:v>Novo</x:v>
      </x:c>
      <x:c r="L806" s="16" t="str">
        <x:v>Em aberto</x:v>
      </x:c>
      <x:c r="M806" s="16" t="str">
        <x:v>805168d4-e66e-4681-8a60-f44169cc22b9</x:v>
      </x:c>
      <x:c r="N806" s="41" t="str"/>
    </x:row>
    <x:row r="807">
      <x:c r="A807" s="37" t="str">
        <x:f>"001013"</x:f>
        <x:v>001013</x:v>
      </x:c>
      <x:c r="B807" s="38" t="str">
        <x:f>"0"</x:f>
        <x:v>0</x:v>
      </x:c>
      <x:c r="C807" s="38" t="str">
        <x:v>CLEIDE CARVALHO CARDOSO</x:v>
      </x:c>
      <x:c r="D807" s="38" t="str">
        <x:f>"86063030549"</x:f>
        <x:v>86063030549</x:v>
      </x:c>
      <x:c r="E807" s="38" t="str">
        <x:f>"11982675755"</x:f>
        <x:v>11982675755</x:v>
      </x:c>
      <x:c r="F807" s="38" t="str">
        <x:v>cleidinha.card@gmail.com</x:v>
      </x:c>
      <x:c r="G807" s="39" t="n">
        <x:v>46122</x:v>
      </x:c>
      <x:c r="H807" s="16" t="str">
        <x:v>04/2026</x:v>
      </x:c>
      <x:c r="I807" s="40" t="n">
        <x:v>1027.62</x:v>
      </x:c>
      <x:c r="J807" s="40" t="n">
        <x:v>1107.64</x:v>
      </x:c>
      <x:c r="K807" s="16" t="str">
        <x:v>Novo</x:v>
      </x:c>
      <x:c r="L807" s="16" t="str">
        <x:v>Em aberto</x:v>
      </x:c>
      <x:c r="M807" s="16" t="str">
        <x:v>de068521-333b-4faa-b4a4-d35cb7cbf240</x:v>
      </x:c>
      <x:c r="N807" s="41" t="str"/>
    </x:row>
    <x:row r="808">
      <x:c r="A808" s="37" t="str">
        <x:f>"001013"</x:f>
        <x:v>001013</x:v>
      </x:c>
      <x:c r="B808" s="38" t="str">
        <x:f>"0"</x:f>
        <x:v>0</x:v>
      </x:c>
      <x:c r="C808" s="38" t="str">
        <x:v>CLEIDE CARVALHO CARDOSO</x:v>
      </x:c>
      <x:c r="D808" s="38" t="str">
        <x:f>"86063030549"</x:f>
        <x:v>86063030549</x:v>
      </x:c>
      <x:c r="E808" s="38" t="str">
        <x:f>"11982675755"</x:f>
        <x:v>11982675755</x:v>
      </x:c>
      <x:c r="F808" s="38" t="str">
        <x:v>cleidinha.card@gmail.com</x:v>
      </x:c>
      <x:c r="G808" s="39" t="n">
        <x:v>46152</x:v>
      </x:c>
      <x:c r="H808" s="16" t="str">
        <x:v>05/2026</x:v>
      </x:c>
      <x:c r="I808" s="40" t="n">
        <x:v>923.34</x:v>
      </x:c>
      <x:c r="J808" s="40" t="n">
        <x:v>968.24</x:v>
      </x:c>
      <x:c r="K808" s="16" t="str">
        <x:v>Novo</x:v>
      </x:c>
      <x:c r="L808" s="16" t="str">
        <x:v>Em aberto</x:v>
      </x:c>
      <x:c r="M808" s="16" t="str">
        <x:v>0c0a88ae-abc0-4c99-91d8-ae51f37652dd</x:v>
      </x:c>
      <x:c r="N808" s="41" t="str"/>
    </x:row>
    <x:row r="809">
      <x:c r="A809" s="37" t="str">
        <x:f>"001013"</x:f>
        <x:v>001013</x:v>
      </x:c>
      <x:c r="B809" s="38" t="str">
        <x:f>"0"</x:f>
        <x:v>0</x:v>
      </x:c>
      <x:c r="C809" s="38" t="str">
        <x:v>CLEIDE CARVALHO CARDOSO</x:v>
      </x:c>
      <x:c r="D809" s="38" t="str">
        <x:f>"86063030549"</x:f>
        <x:v>86063030549</x:v>
      </x:c>
      <x:c r="E809" s="38" t="str">
        <x:f>"11982675755"</x:f>
        <x:v>11982675755</x:v>
      </x:c>
      <x:c r="F809" s="38" t="str">
        <x:v>cleidinha.card@gmail.com</x:v>
      </x:c>
      <x:c r="G809" s="39" t="n">
        <x:v>46183</x:v>
      </x:c>
      <x:c r="H809" s="16" t="str">
        <x:v>06/2026</x:v>
      </x:c>
      <x:c r="I809" s="40" t="n">
        <x:v>977.09</x:v>
      </x:c>
      <x:c r="J809" s="40" t="n">
        <x:v>1017.97</x:v>
      </x:c>
      <x:c r="K809" s="16" t="str">
        <x:v>Novo</x:v>
      </x:c>
      <x:c r="L809" s="16" t="str">
        <x:v>Em aberto</x:v>
      </x:c>
      <x:c r="M809" s="16" t="str">
        <x:v>327197be-4d58-4cc5-869f-584d4e8c37e2</x:v>
      </x:c>
      <x:c r="N809" s="41" t="str"/>
    </x:row>
    <x:row r="810">
      <x:c r="A810" s="37" t="str">
        <x:f>"001102"</x:f>
        <x:v>001102</x:v>
      </x:c>
      <x:c r="B810" s="38" t="str">
        <x:f>"0"</x:f>
        <x:v>0</x:v>
      </x:c>
      <x:c r="C810" s="38" t="str">
        <x:v>TEREZINHA MARIA DE OLIVEIRA</x:v>
      </x:c>
      <x:c r="D810" s="38" t="str">
        <x:f>"29590321879"</x:f>
        <x:v>29590321879</x:v>
      </x:c>
      <x:c r="E810" s="38" t="str">
        <x:f>"1131057291"</x:f>
        <x:v>1131057291</x:v>
      </x:c>
      <x:c r="F810" s="38" t="str">
        <x:v>talita@djuniorimobiliaria.com</x:v>
      </x:c>
      <x:c r="G810" s="39" t="n">
        <x:v>46183</x:v>
      </x:c>
      <x:c r="H810" s="16" t="str">
        <x:v>06/2026</x:v>
      </x:c>
      <x:c r="I810" s="40" t="n">
        <x:v>1025.68</x:v>
      </x:c>
      <x:c r="J810" s="40" t="n">
        <x:v>1068.62</x:v>
      </x:c>
      <x:c r="K810" s="16" t="str">
        <x:v>Novo</x:v>
      </x:c>
      <x:c r="L810" s="16" t="str">
        <x:v>Em aberto</x:v>
      </x:c>
      <x:c r="M810" s="16" t="str">
        <x:v>cfbf420a-4cd4-4e44-af84-59eaa45752b6</x:v>
      </x:c>
      <x:c r="N810" s="41" t="str"/>
    </x:row>
    <x:row r="811">
      <x:c r="A811" s="37" t="str">
        <x:f>"001207"</x:f>
        <x:v>001207</x:v>
      </x:c>
      <x:c r="B811" s="38" t="str">
        <x:f>"0"</x:f>
        <x:v>0</x:v>
      </x:c>
      <x:c r="C811" s="38" t="str">
        <x:v>FLÁVIO GAUCHI PUCCETTI</x:v>
      </x:c>
      <x:c r="D811" s="38" t="str">
        <x:f>"29921076892"</x:f>
        <x:v>29921076892</x:v>
      </x:c>
      <x:c r="E811" s="38" t="str">
        <x:f>"1122743235"</x:f>
        <x:v>1122743235</x:v>
      </x:c>
      <x:c r="F811" s="38" t="str">
        <x:v>artussuy7@gmail.com</x:v>
      </x:c>
      <x:c r="G811" s="39" t="n">
        <x:v>46183</x:v>
      </x:c>
      <x:c r="H811" s="16" t="str">
        <x:v>06/2026</x:v>
      </x:c>
      <x:c r="I811" s="40" t="n">
        <x:v>1047.58</x:v>
      </x:c>
      <x:c r="J811" s="40" t="n">
        <x:v>1091.43</x:v>
      </x:c>
      <x:c r="K811" s="16" t="str">
        <x:v>Novo</x:v>
      </x:c>
      <x:c r="L811" s="16" t="str">
        <x:v>Em aberto</x:v>
      </x:c>
      <x:c r="M811" s="16" t="str">
        <x:v>b621aec8-d0e6-4e65-865c-01a66954fb8a</x:v>
      </x:c>
      <x:c r="N811" s="41" t="str"/>
    </x:row>
    <x:row r="812">
      <x:c r="A812" s="37" t="str">
        <x:f>"001210"</x:f>
        <x:v>001210</x:v>
      </x:c>
      <x:c r="B812" s="38" t="str">
        <x:f>"0"</x:f>
        <x:v>0</x:v>
      </x:c>
      <x:c r="C812" s="38" t="str">
        <x:v>THIAGO DA SILVA FERNANDES</x:v>
      </x:c>
      <x:c r="D812" s="38" t="str">
        <x:f>""</x:f>
      </x:c>
      <x:c r="E812" s="38" t="str">
        <x:f>""</x:f>
      </x:c>
      <x:c r="F812" s="38" t="str"/>
      <x:c r="G812" s="39" t="n">
        <x:v>46152</x:v>
      </x:c>
      <x:c r="H812" s="16" t="str">
        <x:v>05/2026</x:v>
      </x:c>
      <x:c r="I812" s="40" t="n">
        <x:v>679.9</x:v>
      </x:c>
      <x:c r="J812" s="40" t="n">
        <x:v>712.98</x:v>
      </x:c>
      <x:c r="K812" s="16" t="str">
        <x:v>Novo</x:v>
      </x:c>
      <x:c r="L812" s="16" t="str">
        <x:v>Em aberto</x:v>
      </x:c>
      <x:c r="M812" s="16" t="str">
        <x:v>e63290ef-9b9f-49fd-8d79-e84e4149f323</x:v>
      </x:c>
      <x:c r="N812" s="41" t="str"/>
    </x:row>
    <x:row r="813">
      <x:c r="A813" s="37" t="str">
        <x:f>"001311"</x:f>
        <x:v>001311</x:v>
      </x:c>
      <x:c r="B813" s="38" t="str">
        <x:f>"0"</x:f>
        <x:v>0</x:v>
      </x:c>
      <x:c r="C813" s="38" t="str">
        <x:v>GISLAINE MATTIOLI GONÇALVES</x:v>
      </x:c>
      <x:c r="D813" s="38" t="str">
        <x:f>"81933835672"</x:f>
        <x:v>81933835672</x:v>
      </x:c>
      <x:c r="E813" s="38" t="str">
        <x:f>"1150817042"</x:f>
        <x:v>1150817042</x:v>
      </x:c>
      <x:c r="F813" s="38" t="str">
        <x:v>catia.assuncaoimoveissp@gmail.com</x:v>
      </x:c>
      <x:c r="G813" s="39" t="n">
        <x:v>46183</x:v>
      </x:c>
      <x:c r="H813" s="16" t="str">
        <x:v>06/2026</x:v>
      </x:c>
      <x:c r="I813" s="40" t="n">
        <x:v>1058.38</x:v>
      </x:c>
      <x:c r="J813" s="40" t="n">
        <x:v>1102.69</x:v>
      </x:c>
      <x:c r="K813" s="16" t="str">
        <x:v>Novo</x:v>
      </x:c>
      <x:c r="L813" s="16" t="str">
        <x:v>Em aberto</x:v>
      </x:c>
      <x:c r="M813" s="16" t="str">
        <x:v>aa1183f4-7cb2-4e2c-b250-7858b153e262</x:v>
      </x:c>
      <x:c r="N813" s="41" t="str"/>
    </x:row>
    <x:row r="814">
      <x:c r="A814" s="37" t="str">
        <x:f>"001315"</x:f>
        <x:v>001315</x:v>
      </x:c>
      <x:c r="B814" s="38" t="str">
        <x:f>"0"</x:f>
        <x:v>0</x:v>
      </x:c>
      <x:c r="C814" s="38" t="str">
        <x:v>JOSÉ CARLOS FLAVIANO RITO</x:v>
      </x:c>
      <x:c r="D814" s="38" t="str">
        <x:f>"16853127803"</x:f>
        <x:v>16853127803</x:v>
      </x:c>
      <x:c r="E814" s="38" t="str">
        <x:f>"1132081957"</x:f>
        <x:v>1132081957</x:v>
      </x:c>
      <x:c r="F814" s="38" t="str">
        <x:v>carlos.rito2009@gmail.com</x:v>
      </x:c>
      <x:c r="G814" s="39" t="n">
        <x:v>46032</x:v>
      </x:c>
      <x:c r="H814" s="16" t="str">
        <x:v>01/2026</x:v>
      </x:c>
      <x:c r="I814" s="40" t="n">
        <x:v>1003.14</x:v>
      </x:c>
      <x:c r="J814" s="40" t="n">
        <x:v>1133.25</x:v>
      </x:c>
      <x:c r="K814" s="16" t="str">
        <x:v>Novo</x:v>
      </x:c>
      <x:c r="L814" s="16" t="str">
        <x:v>Em aberto</x:v>
      </x:c>
      <x:c r="M814" s="16" t="str">
        <x:v>604ffd81-dc12-47c0-b367-23bd0f3c6391</x:v>
      </x:c>
      <x:c r="N814" s="41" t="str"/>
    </x:row>
    <x:row r="815">
      <x:c r="A815" s="37" t="str">
        <x:f>"001315"</x:f>
        <x:v>001315</x:v>
      </x:c>
      <x:c r="B815" s="38" t="str">
        <x:f>"0"</x:f>
        <x:v>0</x:v>
      </x:c>
      <x:c r="C815" s="38" t="str">
        <x:v>JOSÉ CARLOS FLAVIANO RITO</x:v>
      </x:c>
      <x:c r="D815" s="38" t="str">
        <x:f>"16853127803"</x:f>
        <x:v>16853127803</x:v>
      </x:c>
      <x:c r="E815" s="38" t="str">
        <x:f>"1132081957"</x:f>
        <x:v>1132081957</x:v>
      </x:c>
      <x:c r="F815" s="38" t="str">
        <x:v>carlos.rito2009@gmail.com</x:v>
      </x:c>
      <x:c r="G815" s="39" t="n">
        <x:v>46063</x:v>
      </x:c>
      <x:c r="H815" s="16" t="str">
        <x:v>02/2026</x:v>
      </x:c>
      <x:c r="I815" s="40" t="n">
        <x:v>962.17</x:v>
      </x:c>
      <x:c r="J815" s="40" t="n">
        <x:v>1072.58</x:v>
      </x:c>
      <x:c r="K815" s="16" t="str">
        <x:v>Novo</x:v>
      </x:c>
      <x:c r="L815" s="16" t="str">
        <x:v>Em aberto</x:v>
      </x:c>
      <x:c r="M815" s="16" t="str">
        <x:v>23eb8a3b-1d9d-43e1-a245-29fc1fb3541b</x:v>
      </x:c>
      <x:c r="N815" s="41" t="str"/>
    </x:row>
    <x:row r="816">
      <x:c r="A816" s="37" t="str">
        <x:f>"001315"</x:f>
        <x:v>001315</x:v>
      </x:c>
      <x:c r="B816" s="38" t="str">
        <x:f>"0"</x:f>
        <x:v>0</x:v>
      </x:c>
      <x:c r="C816" s="38" t="str">
        <x:v>JOSÉ CARLOS FLAVIANO RITO</x:v>
      </x:c>
      <x:c r="D816" s="38" t="str">
        <x:f>"16853127803"</x:f>
        <x:v>16853127803</x:v>
      </x:c>
      <x:c r="E816" s="38" t="str">
        <x:f>"1132081957"</x:f>
        <x:v>1132081957</x:v>
      </x:c>
      <x:c r="F816" s="38" t="str">
        <x:v>carlos.rito2009@gmail.com</x:v>
      </x:c>
      <x:c r="G816" s="39" t="n">
        <x:v>46091</x:v>
      </x:c>
      <x:c r="H816" s="16" t="str">
        <x:v>03/2026</x:v>
      </x:c>
      <x:c r="I816" s="40" t="n">
        <x:v>1024.78</x:v>
      </x:c>
      <x:c r="J816" s="40" t="n">
        <x:v>1125.33</x:v>
      </x:c>
      <x:c r="K816" s="16" t="str">
        <x:v>Novo</x:v>
      </x:c>
      <x:c r="L816" s="16" t="str">
        <x:v>Em aberto</x:v>
      </x:c>
      <x:c r="M816" s="16" t="str">
        <x:v>dccf2802-3c24-4cc3-85b8-a6fc6ce4c029</x:v>
      </x:c>
      <x:c r="N816" s="41" t="str"/>
    </x:row>
    <x:row r="817">
      <x:c r="A817" s="37" t="str">
        <x:f>"001402"</x:f>
        <x:v>001402</x:v>
      </x:c>
      <x:c r="B817" s="38" t="str">
        <x:f>"0"</x:f>
        <x:v>0</x:v>
      </x:c>
      <x:c r="C817" s="38" t="str">
        <x:v>ROGILSON TEIXEIRA FERNANDES</x:v>
      </x:c>
      <x:c r="D817" s="38" t="str">
        <x:f>"02520127392"</x:f>
        <x:v>02520127392</x:v>
      </x:c>
      <x:c r="E817" s="38" t="str">
        <x:f>""</x:f>
      </x:c>
      <x:c r="F817" s="38" t="str">
        <x:v>rogilsonteixeira@yahoo.com.br</x:v>
      </x:c>
      <x:c r="G817" s="39" t="n">
        <x:v>46183</x:v>
      </x:c>
      <x:c r="H817" s="16" t="str">
        <x:v>06/2026</x:v>
      </x:c>
      <x:c r="I817" s="40" t="n">
        <x:v>1064.8</x:v>
      </x:c>
      <x:c r="J817" s="40" t="n">
        <x:v>1109.39</x:v>
      </x:c>
      <x:c r="K817" s="16" t="str">
        <x:v>Novo</x:v>
      </x:c>
      <x:c r="L817" s="16" t="str">
        <x:v>Em aberto</x:v>
      </x:c>
      <x:c r="M817" s="16" t="str">
        <x:v>e0f4d009-37a8-45eb-9de3-e9521a0c278f</x:v>
      </x:c>
      <x:c r="N817" s="41" t="str"/>
    </x:row>
    <x:row r="818">
      <x:c r="A818" s="37" t="str">
        <x:f>"001507"</x:f>
        <x:v>001507</x:v>
      </x:c>
      <x:c r="B818" s="38" t="str">
        <x:f>"0"</x:f>
        <x:v>0</x:v>
      </x:c>
      <x:c r="C818" s="38" t="str">
        <x:v>PAULO HENRIQUE SANTOS</x:v>
      </x:c>
      <x:c r="D818" s="38" t="str">
        <x:f>"30899197884"</x:f>
        <x:v>30899197884</x:v>
      </x:c>
      <x:c r="E818" s="38" t="str">
        <x:f>"1134553093"</x:f>
        <x:v>1134553093</x:v>
      </x:c>
      <x:c r="F818" s="38" t="str">
        <x:v>lucasfernandes605@gmail.com</x:v>
      </x:c>
      <x:c r="G818" s="39" t="n">
        <x:v>46063</x:v>
      </x:c>
      <x:c r="H818" s="16" t="str">
        <x:v>02/2026</x:v>
      </x:c>
      <x:c r="I818" s="40" t="n">
        <x:v>294.09</x:v>
      </x:c>
      <x:c r="J818" s="40" t="n">
        <x:v>327.84</x:v>
      </x:c>
      <x:c r="K818" s="16" t="str">
        <x:v>Novo</x:v>
      </x:c>
      <x:c r="L818" s="16" t="str">
        <x:v>Em aberto</x:v>
      </x:c>
      <x:c r="M818" s="16" t="str">
        <x:v>658f8f8c-498f-43c6-8a80-ae521fb40811</x:v>
      </x:c>
      <x:c r="N818" s="41" t="str"/>
    </x:row>
    <x:row r="819">
      <x:c r="A819" s="37" t="str">
        <x:f>"001516"</x:f>
        <x:v>001516</x:v>
      </x:c>
      <x:c r="B819" s="38" t="str">
        <x:f>"0"</x:f>
        <x:v>0</x:v>
      </x:c>
      <x:c r="C819" s="38" t="str">
        <x:v>SILVANO FARIAS</x:v>
      </x:c>
      <x:c r="D819" s="38" t="str">
        <x:f>"29686683828"</x:f>
        <x:v>29686683828</x:v>
      </x:c>
      <x:c r="E819" s="38" t="str">
        <x:f>"1122721533"</x:f>
        <x:v>1122721533</x:v>
      </x:c>
      <x:c r="F819" s="38" t="str">
        <x:v>juliavarandas9@gmail.com</x:v>
      </x:c>
      <x:c r="G819" s="39" t="n">
        <x:v>46091</x:v>
      </x:c>
      <x:c r="H819" s="16" t="str">
        <x:v>03/2026</x:v>
      </x:c>
      <x:c r="I819" s="40" t="n">
        <x:v>156.37</x:v>
      </x:c>
      <x:c r="J819" s="40" t="n">
        <x:v>171.72</x:v>
      </x:c>
      <x:c r="K819" s="16" t="str">
        <x:v>Novo</x:v>
      </x:c>
      <x:c r="L819" s="16" t="str">
        <x:v>Em aberto</x:v>
      </x:c>
      <x:c r="M819" s="16" t="str">
        <x:v>c06a6608-dff2-4833-aa2e-ef8811edef90</x:v>
      </x:c>
      <x:c r="N819" s="41" t="str"/>
    </x:row>
    <x:row r="820">
      <x:c r="A820" s="37" t="str">
        <x:f>"001516"</x:f>
        <x:v>001516</x:v>
      </x:c>
      <x:c r="B820" s="38" t="str">
        <x:f>"0"</x:f>
        <x:v>0</x:v>
      </x:c>
      <x:c r="C820" s="38" t="str">
        <x:v>SILVANO FARIAS</x:v>
      </x:c>
      <x:c r="D820" s="38" t="str">
        <x:f>"29686683828"</x:f>
        <x:v>29686683828</x:v>
      </x:c>
      <x:c r="E820" s="38" t="str">
        <x:f>"1122721533"</x:f>
        <x:v>1122721533</x:v>
      </x:c>
      <x:c r="F820" s="38" t="str">
        <x:v>juliavarandas9@gmail.com</x:v>
      </x:c>
      <x:c r="G820" s="39" t="n">
        <x:v>46152</x:v>
      </x:c>
      <x:c r="H820" s="16" t="str">
        <x:v>05/2026</x:v>
      </x:c>
      <x:c r="I820" s="40" t="n">
        <x:v>1455.01</x:v>
      </x:c>
      <x:c r="J820" s="40" t="n">
        <x:v>1525.76</x:v>
      </x:c>
      <x:c r="K820" s="16" t="str">
        <x:v>Novo</x:v>
      </x:c>
      <x:c r="L820" s="16" t="str">
        <x:v>Em aberto</x:v>
      </x:c>
      <x:c r="M820" s="16" t="str">
        <x:v>93af69ed-c2ae-43ce-9897-fb00641df68b</x:v>
      </x:c>
      <x:c r="N820" s="41" t="str"/>
    </x:row>
    <x:row r="821">
      <x:c r="A821" s="37" t="str">
        <x:f>"001516"</x:f>
        <x:v>001516</x:v>
      </x:c>
      <x:c r="B821" s="38" t="str">
        <x:f>"0"</x:f>
        <x:v>0</x:v>
      </x:c>
      <x:c r="C821" s="38" t="str">
        <x:v>SILVANO FARIAS</x:v>
      </x:c>
      <x:c r="D821" s="38" t="str">
        <x:f>"29686683828"</x:f>
        <x:v>29686683828</x:v>
      </x:c>
      <x:c r="E821" s="38" t="str">
        <x:f>"1122721533"</x:f>
        <x:v>1122721533</x:v>
      </x:c>
      <x:c r="F821" s="38" t="str">
        <x:v>juliavarandas9@gmail.com</x:v>
      </x:c>
      <x:c r="G821" s="39" t="n">
        <x:v>46183</x:v>
      </x:c>
      <x:c r="H821" s="16" t="str">
        <x:v>06/2026</x:v>
      </x:c>
      <x:c r="I821" s="40" t="n">
        <x:v>1674.16</x:v>
      </x:c>
      <x:c r="J821" s="40" t="n">
        <x:v>1744.24</x:v>
      </x:c>
      <x:c r="K821" s="16" t="str">
        <x:v>Novo</x:v>
      </x:c>
      <x:c r="L821" s="16" t="str">
        <x:v>Em aberto</x:v>
      </x:c>
      <x:c r="M821" s="16" t="str">
        <x:v>8e6ed9ad-7f44-4c16-9add-fff98f31250a</x:v>
      </x:c>
      <x:c r="N821" s="41" t="str"/>
    </x:row>
    <x:row r="822">
      <x:c r="A822" s="37" t="str">
        <x:f>"001702"</x:f>
        <x:v>001702</x:v>
      </x:c>
      <x:c r="B822" s="38" t="str">
        <x:f>"0"</x:f>
        <x:v>0</x:v>
      </x:c>
      <x:c r="C822" s="38" t="str">
        <x:v>GLÁUCIA REGINA BOTOSSI</x:v>
      </x:c>
      <x:c r="D822" s="38" t="str">
        <x:f>"27200243841"</x:f>
        <x:v>27200243841</x:v>
      </x:c>
      <x:c r="E822" s="38" t="str">
        <x:f>""</x:f>
      </x:c>
      <x:c r="F822" s="38" t="str">
        <x:v>rafaelhett@gmail.com</x:v>
      </x:c>
      <x:c r="G822" s="39" t="n">
        <x:v>46122</x:v>
      </x:c>
      <x:c r="H822" s="16" t="str">
        <x:v>04/2026</x:v>
      </x:c>
      <x:c r="I822" s="40" t="n">
        <x:v>427.34</x:v>
      </x:c>
      <x:c r="J822" s="40" t="n">
        <x:v>460.62</x:v>
      </x:c>
      <x:c r="K822" s="16" t="str">
        <x:v>Novo</x:v>
      </x:c>
      <x:c r="L822" s="16" t="str">
        <x:v>Em aberto</x:v>
      </x:c>
      <x:c r="M822" s="16" t="str">
        <x:v>d64f5436-7a74-4a58-ae6a-3d919989e8bf</x:v>
      </x:c>
      <x:c r="N822" s="41" t="str"/>
    </x:row>
    <x:row r="823">
      <x:c r="A823" s="37" t="str">
        <x:f>"001804"</x:f>
        <x:v>001804</x:v>
      </x:c>
      <x:c r="B823" s="38" t="str">
        <x:f>"0"</x:f>
        <x:v>0</x:v>
      </x:c>
      <x:c r="C823" s="38" t="str">
        <x:v>KIYOSHI OSCAR HISSAMURA</x:v>
      </x:c>
      <x:c r="D823" s="38" t="str">
        <x:f>"90548507872"</x:f>
        <x:v>90548507872</x:v>
      </x:c>
      <x:c r="E823" s="38" t="str">
        <x:f>"1145088593"</x:f>
        <x:v>1145088593</x:v>
      </x:c>
      <x:c r="F823" s="38" t="str">
        <x:v>leonardo@mzlume.com.br</x:v>
      </x:c>
      <x:c r="G823" s="39" t="n">
        <x:v>46152</x:v>
      </x:c>
      <x:c r="H823" s="16" t="str">
        <x:v>05/2026</x:v>
      </x:c>
      <x:c r="I823" s="40" t="n">
        <x:v>973.14</x:v>
      </x:c>
      <x:c r="J823" s="40" t="n">
        <x:v>1020.46</x:v>
      </x:c>
      <x:c r="K823" s="16" t="str">
        <x:v>Novo</x:v>
      </x:c>
      <x:c r="L823" s="16" t="str">
        <x:v>Em aberto</x:v>
      </x:c>
      <x:c r="M823" s="16" t="str">
        <x:v>a9352d31-5b34-49b8-a892-8ef7ca3277d5</x:v>
      </x:c>
      <x:c r="N823" s="41" t="str"/>
    </x:row>
    <x:row r="824">
      <x:c r="A824" s="37" t="str">
        <x:f>"001808"</x:f>
        <x:v>001808</x:v>
      </x:c>
      <x:c r="B824" s="38" t="str">
        <x:f>"0"</x:f>
        <x:v>0</x:v>
      </x:c>
      <x:c r="C824" s="38" t="str">
        <x:v>SERAFIM ESPEDITO BARNABE</x:v>
      </x:c>
      <x:c r="D824" s="38" t="str">
        <x:f>"02609444834"</x:f>
        <x:v>02609444834</x:v>
      </x:c>
      <x:c r="E824" s="38" t="str">
        <x:f>"1136479504"</x:f>
        <x:v>1136479504</x:v>
      </x:c>
      <x:c r="F824" s="38" t="str">
        <x:v>serafa.comercio@terra.com.br</x:v>
      </x:c>
      <x:c r="G824" s="39" t="n">
        <x:v>46152</x:v>
      </x:c>
      <x:c r="H824" s="16" t="str">
        <x:v>05/2026</x:v>
      </x:c>
      <x:c r="I824" s="40" t="n">
        <x:v>966.6</x:v>
      </x:c>
      <x:c r="J824" s="40" t="n">
        <x:v>1013.6</x:v>
      </x:c>
      <x:c r="K824" s="16" t="str">
        <x:v>Novo</x:v>
      </x:c>
      <x:c r="L824" s="16" t="str">
        <x:v>Em aberto</x:v>
      </x:c>
      <x:c r="M824" s="16" t="str">
        <x:v>3082abe2-4bd5-42e8-837c-05860f120f72</x:v>
      </x:c>
      <x:c r="N824" s="41" t="str"/>
    </x:row>
    <x:row r="825">
      <x:c r="A825" s="37" t="str">
        <x:f>"002105"</x:f>
        <x:v>002105</x:v>
      </x:c>
      <x:c r="B825" s="38" t="str">
        <x:f>"0"</x:f>
        <x:v>0</x:v>
      </x:c>
      <x:c r="C825" s="38" t="str">
        <x:v>KAREN EGLI DE SOUZA ALVES</x:v>
      </x:c>
      <x:c r="D825" s="38" t="str">
        <x:f>""</x:f>
      </x:c>
      <x:c r="E825" s="38" t="str">
        <x:f>""</x:f>
      </x:c>
      <x:c r="F825" s="38" t="str"/>
      <x:c r="G825" s="39" t="n">
        <x:v>46032</x:v>
      </x:c>
      <x:c r="H825" s="16" t="str">
        <x:v>01/2026</x:v>
      </x:c>
      <x:c r="I825" s="40" t="n">
        <x:v>7.49</x:v>
      </x:c>
      <x:c r="J825" s="40" t="n">
        <x:v>8.46</x:v>
      </x:c>
      <x:c r="K825" s="16" t="str">
        <x:v>Novo</x:v>
      </x:c>
      <x:c r="L825" s="16" t="str">
        <x:v>Em aberto</x:v>
      </x:c>
      <x:c r="M825" s="16" t="str">
        <x:v>393a5bbb-5082-4a28-b2ec-bc63df11c060</x:v>
      </x:c>
      <x:c r="N825" s="41" t="str"/>
    </x:row>
    <x:row r="826">
      <x:c r="A826" s="37" t="str">
        <x:f>"002105"</x:f>
        <x:v>002105</x:v>
      </x:c>
      <x:c r="B826" s="38" t="str">
        <x:f>"0"</x:f>
        <x:v>0</x:v>
      </x:c>
      <x:c r="C826" s="38" t="str">
        <x:v>KAREN EGLI DE SOUZA ALVES</x:v>
      </x:c>
      <x:c r="D826" s="38" t="str">
        <x:f>""</x:f>
      </x:c>
      <x:c r="E826" s="38" t="str">
        <x:f>""</x:f>
      </x:c>
      <x:c r="F826" s="38" t="str"/>
      <x:c r="G826" s="39" t="n">
        <x:v>46063</x:v>
      </x:c>
      <x:c r="H826" s="16" t="str">
        <x:v>02/2026</x:v>
      </x:c>
      <x:c r="I826" s="40" t="n">
        <x:v>759.01</x:v>
      </x:c>
      <x:c r="J826" s="40" t="n">
        <x:v>846.12</x:v>
      </x:c>
      <x:c r="K826" s="16" t="str">
        <x:v>Novo</x:v>
      </x:c>
      <x:c r="L826" s="16" t="str">
        <x:v>Em aberto</x:v>
      </x:c>
      <x:c r="M826" s="16" t="str">
        <x:v>ce83938e-0a16-4a57-ab7f-1738e22d96fc</x:v>
      </x:c>
      <x:c r="N826" s="41" t="str"/>
    </x:row>
    <x:row r="827">
      <x:c r="A827" s="37" t="str">
        <x:f>"002402"</x:f>
        <x:v>002402</x:v>
      </x:c>
      <x:c r="B827" s="38" t="str">
        <x:f>"0"</x:f>
        <x:v>0</x:v>
      </x:c>
      <x:c r="C827" s="38" t="str">
        <x:v>EDELWEISS MACIEL FONSECA</x:v>
      </x:c>
      <x:c r="D827" s="38" t="str">
        <x:f>"15218048852"</x:f>
        <x:v>15218048852</x:v>
      </x:c>
      <x:c r="E827" s="38" t="str">
        <x:f>"1132778019"</x:f>
        <x:v>1132778019</x:v>
      </x:c>
      <x:c r="F827" s="38" t="str">
        <x:v>edelweisscereja@gmail.com</x:v>
      </x:c>
      <x:c r="G827" s="39" t="n">
        <x:v>46183</x:v>
      </x:c>
      <x:c r="H827" s="16" t="str">
        <x:v>06/2026</x:v>
      </x:c>
      <x:c r="I827" s="40" t="n">
        <x:v>990.43</x:v>
      </x:c>
      <x:c r="J827" s="40" t="n">
        <x:v>1031.88</x:v>
      </x:c>
      <x:c r="K827" s="16" t="str">
        <x:v>Novo</x:v>
      </x:c>
      <x:c r="L827" s="16" t="str">
        <x:v>Em aberto</x:v>
      </x:c>
      <x:c r="M827" s="16" t="str">
        <x:v>54389baf-f48f-4ebb-85cf-c1dfd2241ee6</x:v>
      </x:c>
      <x:c r="N827" s="41" t="str"/>
    </x:row>
    <x:row r="828">
      <x:c r="A828" s="42" t="str">
        <x:f>"002408"</x:f>
        <x:v>002408</x:v>
      </x:c>
      <x:c r="B828" s="43" t="str">
        <x:f>"0"</x:f>
        <x:v>0</x:v>
      </x:c>
      <x:c r="C828" s="43" t="str">
        <x:v>DERNEVALDO ALMEIDA FRANCO</x:v>
      </x:c>
      <x:c r="D828" s="43" t="str">
        <x:f>""</x:f>
      </x:c>
      <x:c r="E828" s="43" t="str">
        <x:f>""</x:f>
      </x:c>
      <x:c r="F828" s="43" t="str"/>
      <x:c r="G828" s="44" t="n">
        <x:v>46032</x:v>
      </x:c>
      <x:c r="H828" s="20" t="str">
        <x:v>01/2026</x:v>
      </x:c>
      <x:c r="I828" s="45" t="n">
        <x:v>674.82</x:v>
      </x:c>
      <x:c r="J828" s="45" t="n">
        <x:v>762.33</x:v>
      </x:c>
      <x:c r="K828" s="20" t="str">
        <x:v>Novo</x:v>
      </x:c>
      <x:c r="L828" s="20" t="str">
        <x:v>Em aberto</x:v>
      </x:c>
      <x:c r="M828" s="20" t="str">
        <x:v>9de80b58-70df-4ea0-96e5-782d667521e9</x:v>
      </x:c>
      <x:c r="N828" s="46" t="str"/>
    </x:row>
    <x:row r="829">
      <x:c r="A829" s="47" t="str">
        <x:v>Subtotal</x:v>
      </x:c>
      <x:c r="B829" s="47" t="str"/>
      <x:c r="C829" s="47" t="str"/>
      <x:c r="D829" s="47" t="str"/>
      <x:c r="E829" s="47" t="str"/>
      <x:c r="F829" s="47" t="str"/>
      <x:c r="G829" s="47" t="str"/>
      <x:c r="H829" s="47" t="str"/>
      <x:c r="I829" s="47" t="str"/>
      <x:c r="J829" s="48" t="n">
        <x:v>39914.7</x:v>
      </x:c>
      <x:c r="K829" s="47" t="str">
        <x:v>41 novas</x:v>
      </x:c>
      <x:c r="L829" s="47" t="str">
        <x:v>1 ativas</x:v>
      </x:c>
      <x:c r="M829" s="47" t="str"/>
      <x:c r="N829" s="47" t="str"/>
    </x:row>
    <x:row r="831">
      <x:c r="A831" s="26" t="str">
        <x:v>CONDOMÍNIO RAIZES DA MATA</x:v>
      </x:c>
      <x:c r="B831" s="26"/>
      <x:c r="C831" s="26"/>
      <x:c r="D831" s="26"/>
      <x:c r="E831" s="26"/>
      <x:c r="F831" s="26"/>
      <x:c r="G831" s="26"/>
      <x:c r="H831" s="26"/>
      <x:c r="I831" s="26"/>
      <x:c r="J831" s="26"/>
      <x:c r="K831" s="26"/>
      <x:c r="L831" s="26"/>
      <x:c r="M831" s="26"/>
      <x:c r="N831" s="26"/>
    </x:row>
    <x:row r="832">
      <x:c r="A832" s="28" t="str">
        <x:v>CNPJ</x:v>
      </x:c>
      <x:c r="B832" s="28" t="str">
        <x:v>08.422.331/0001-21</x:v>
      </x:c>
      <x:c r="C832" s="28"/>
      <x:c r="D832" s="28" t="str">
        <x:v>Dia de vencimento</x:v>
      </x:c>
      <x:c r="E832" s="28" t="n">
        <x:v>1</x:v>
      </x:c>
      <x:c r="F832" s="28" t="str">
        <x:v>Régua</x:v>
      </x:c>
      <x:c r="G832" s="28" t="str">
        <x:v>D+90 · pré-jurídico em D+120</x:v>
      </x:c>
      <x:c r="H832" s="28"/>
      <x:c r="I832" s="28"/>
      <x:c r="J832" s="28"/>
      <x:c r="K832" s="28"/>
      <x:c r="L832" s="28"/>
      <x:c r="M832" s="28"/>
      <x:c r="N832" s="28"/>
    </x:row>
    <x:row r="833">
      <x:c r="A833" s="9" t="str">
        <x:v>Unidade</x:v>
      </x:c>
      <x:c r="B833" s="9" t="str">
        <x:v>Bloco</x:v>
      </x:c>
      <x:c r="C833" s="9" t="str">
        <x:v>Responsável</x:v>
      </x:c>
      <x:c r="D833" s="9" t="str">
        <x:v>Documento</x:v>
      </x:c>
      <x:c r="E833" s="9" t="str">
        <x:v>Telefone</x:v>
      </x:c>
      <x:c r="F833" s="9" t="str">
        <x:v>E-mail</x:v>
      </x:c>
      <x:c r="G833" s="9" t="str">
        <x:v>Vencimento</x:v>
      </x:c>
      <x:c r="H833" s="9" t="str">
        <x:v>Competência</x:v>
      </x:c>
      <x:c r="I833" s="9" t="str">
        <x:v>Valor original</x:v>
      </x:c>
      <x:c r="J833" s="9" t="str">
        <x:v>Valor atualizado</x:v>
      </x:c>
      <x:c r="K833" s="9" t="str">
        <x:v>Status operacional</x:v>
      </x:c>
      <x:c r="L833" s="9" t="str">
        <x:v>Status financeiro</x:v>
      </x:c>
      <x:c r="M833" s="9" t="str">
        <x:v>ID cobrança</x:v>
      </x:c>
      <x:c r="N833" s="9" t="str">
        <x:v>Observação</x:v>
      </x:c>
    </x:row>
    <x:row r="834">
      <x:c r="A834" s="31" t="str">
        <x:f>"000022"</x:f>
        <x:v>000022</x:v>
      </x:c>
      <x:c r="B834" s="32" t="str">
        <x:f>"A"</x:f>
        <x:v>A</x:v>
      </x:c>
      <x:c r="C834" s="32" t="str">
        <x:v>ANTONIO CESAR PAZINATTO</x:v>
      </x:c>
      <x:c r="D834" s="32" t="str">
        <x:f>"13243849802"</x:f>
        <x:v>13243849802</x:v>
      </x:c>
      <x:c r="E834" s="32" t="str">
        <x:f>""</x:f>
      </x:c>
      <x:c r="F834" s="32" t="str">
        <x:v>cpazinatto@gmail.com</x:v>
      </x:c>
      <x:c r="G834" s="33" t="n">
        <x:v>46147</x:v>
      </x:c>
      <x:c r="H834" s="34" t="str">
        <x:v>05/2026</x:v>
      </x:c>
      <x:c r="I834" s="35" t="n">
        <x:v>3197.53</x:v>
      </x:c>
      <x:c r="J834" s="35" t="n">
        <x:v>3359.33</x:v>
      </x:c>
      <x:c r="K834" s="34" t="str">
        <x:v>Novo</x:v>
      </x:c>
      <x:c r="L834" s="34" t="str">
        <x:v>Em aberto</x:v>
      </x:c>
      <x:c r="M834" s="34" t="str">
        <x:v>4d89027e-715c-4a61-91f7-fb4cc15a0624</x:v>
      </x:c>
      <x:c r="N834" s="36" t="str"/>
    </x:row>
    <x:row r="835">
      <x:c r="A835" s="37" t="str">
        <x:f>"000081"</x:f>
        <x:v>000081</x:v>
      </x:c>
      <x:c r="B835" s="38" t="str">
        <x:f>"C"</x:f>
        <x:v>C</x:v>
      </x:c>
      <x:c r="C835" s="38" t="str">
        <x:v>ABDO CARIM KHALED GHANDOUR</x:v>
      </x:c>
      <x:c r="D835" s="38" t="str">
        <x:f>"03427753832"</x:f>
        <x:v>03427753832</x:v>
      </x:c>
      <x:c r="E835" s="38" t="str">
        <x:f>""</x:f>
      </x:c>
      <x:c r="F835" s="38" t="str"/>
      <x:c r="G835" s="39" t="n">
        <x:v>46030</x:v>
      </x:c>
      <x:c r="H835" s="16" t="str">
        <x:v>01/2026</x:v>
      </x:c>
      <x:c r="I835" s="40" t="n">
        <x:v>2305</x:v>
      </x:c>
      <x:c r="J835" s="40" t="n">
        <x:v>2567.94</x:v>
      </x:c>
      <x:c r="K835" s="16" t="str">
        <x:v>Novo</x:v>
      </x:c>
      <x:c r="L835" s="16" t="str">
        <x:v>Em aberto</x:v>
      </x:c>
      <x:c r="M835" s="16" t="str">
        <x:v>c5d5aa20-1fd8-4e77-bdcd-4385272aaf11</x:v>
      </x:c>
      <x:c r="N835" s="41" t="str"/>
    </x:row>
    <x:row r="836">
      <x:c r="A836" s="37" t="str">
        <x:f>"000081"</x:f>
        <x:v>000081</x:v>
      </x:c>
      <x:c r="B836" s="38" t="str">
        <x:f>"C"</x:f>
        <x:v>C</x:v>
      </x:c>
      <x:c r="C836" s="38" t="str">
        <x:v>ABDO CARIM KHALED GHANDOUR</x:v>
      </x:c>
      <x:c r="D836" s="38" t="str">
        <x:f>"03427753832"</x:f>
        <x:v>03427753832</x:v>
      </x:c>
      <x:c r="E836" s="38" t="str">
        <x:f>""</x:f>
      </x:c>
      <x:c r="F836" s="38" t="str"/>
      <x:c r="G836" s="39" t="n">
        <x:v>46047</x:v>
      </x:c>
      <x:c r="H836" s="16" t="str">
        <x:v>01/2026</x:v>
      </x:c>
      <x:c r="I836" s="40" t="n">
        <x:v>312</x:v>
      </x:c>
      <x:c r="J836" s="40" t="n">
        <x:v>347.6</x:v>
      </x:c>
      <x:c r="K836" s="16" t="str">
        <x:v>Novo</x:v>
      </x:c>
      <x:c r="L836" s="16" t="str">
        <x:v>Em aberto</x:v>
      </x:c>
      <x:c r="M836" s="16" t="str">
        <x:v>29dbf3ae-f238-4d57-af3e-1f4f808709a0</x:v>
      </x:c>
      <x:c r="N836" s="41" t="str"/>
    </x:row>
    <x:row r="837">
      <x:c r="A837" s="37" t="str">
        <x:f>"000081"</x:f>
        <x:v>000081</x:v>
      </x:c>
      <x:c r="B837" s="38" t="str">
        <x:f>"C"</x:f>
        <x:v>C</x:v>
      </x:c>
      <x:c r="C837" s="38" t="str">
        <x:v>ABDO CARIM KHALED GHANDOUR</x:v>
      </x:c>
      <x:c r="D837" s="38" t="str">
        <x:f>"03427753832"</x:f>
        <x:v>03427753832</x:v>
      </x:c>
      <x:c r="E837" s="38" t="str">
        <x:f>""</x:f>
      </x:c>
      <x:c r="F837" s="38" t="str"/>
      <x:c r="G837" s="39" t="n">
        <x:v>46061</x:v>
      </x:c>
      <x:c r="H837" s="16" t="str">
        <x:v>02/2026</x:v>
      </x:c>
      <x:c r="I837" s="40" t="n">
        <x:v>2558.51</x:v>
      </x:c>
      <x:c r="J837" s="40" t="n">
        <x:v>2812.2</x:v>
      </x:c>
      <x:c r="K837" s="16" t="str">
        <x:v>Novo</x:v>
      </x:c>
      <x:c r="L837" s="16" t="str">
        <x:v>Em aberto</x:v>
      </x:c>
      <x:c r="M837" s="16" t="str">
        <x:v>5d701c96-2bc7-487c-9e3b-c458aed55a87</x:v>
      </x:c>
      <x:c r="N837" s="41" t="str"/>
    </x:row>
    <x:row r="838">
      <x:c r="A838" s="37" t="str">
        <x:f>"000081"</x:f>
        <x:v>000081</x:v>
      </x:c>
      <x:c r="B838" s="38" t="str">
        <x:f>"C"</x:f>
        <x:v>C</x:v>
      </x:c>
      <x:c r="C838" s="38" t="str">
        <x:v>ABDO CARIM KHALED GHANDOUR</x:v>
      </x:c>
      <x:c r="D838" s="38" t="str">
        <x:f>"03427753832"</x:f>
        <x:v>03427753832</x:v>
      </x:c>
      <x:c r="E838" s="38" t="str">
        <x:f>""</x:f>
      </x:c>
      <x:c r="F838" s="38" t="str"/>
      <x:c r="G838" s="39" t="n">
        <x:v>46086</x:v>
      </x:c>
      <x:c r="H838" s="16" t="str">
        <x:v>03/2026</x:v>
      </x:c>
      <x:c r="I838" s="40" t="n">
        <x:v>2521.26</x:v>
      </x:c>
      <x:c r="J838" s="40" t="n">
        <x:v>2765.31</x:v>
      </x:c>
      <x:c r="K838" s="16" t="str">
        <x:v>Novo</x:v>
      </x:c>
      <x:c r="L838" s="16" t="str">
        <x:v>Em aberto</x:v>
      </x:c>
      <x:c r="M838" s="16" t="str">
        <x:v>32bb3d07-3701-4919-b5ff-eecbd3a47b8e</x:v>
      </x:c>
      <x:c r="N838" s="41" t="str"/>
    </x:row>
    <x:row r="839">
      <x:c r="A839" s="37" t="str">
        <x:f>"000081"</x:f>
        <x:v>000081</x:v>
      </x:c>
      <x:c r="B839" s="38" t="str">
        <x:f>"C"</x:f>
        <x:v>C</x:v>
      </x:c>
      <x:c r="C839" s="38" t="str">
        <x:v>ABDO CARIM KHALED GHANDOUR</x:v>
      </x:c>
      <x:c r="D839" s="38" t="str">
        <x:f>"03427753832"</x:f>
        <x:v>03427753832</x:v>
      </x:c>
      <x:c r="E839" s="38" t="str">
        <x:f>""</x:f>
      </x:c>
      <x:c r="F839" s="38" t="str"/>
      <x:c r="G839" s="39" t="n">
        <x:v>46117</x:v>
      </x:c>
      <x:c r="H839" s="16" t="str">
        <x:v>04/2026</x:v>
      </x:c>
      <x:c r="I839" s="40" t="n">
        <x:v>2582.24</x:v>
      </x:c>
      <x:c r="J839" s="40" t="n">
        <x:v>2790.71</x:v>
      </x:c>
      <x:c r="K839" s="16" t="str">
        <x:v>Novo</x:v>
      </x:c>
      <x:c r="L839" s="16" t="str">
        <x:v>Em aberto</x:v>
      </x:c>
      <x:c r="M839" s="16" t="str">
        <x:v>895e4515-1964-4a1c-9dde-030107599160</x:v>
      </x:c>
      <x:c r="N839" s="41" t="str"/>
    </x:row>
    <x:row r="840">
      <x:c r="A840" s="37" t="str">
        <x:f>"000081"</x:f>
        <x:v>000081</x:v>
      </x:c>
      <x:c r="B840" s="38" t="str">
        <x:f>"C"</x:f>
        <x:v>C</x:v>
      </x:c>
      <x:c r="C840" s="38" t="str">
        <x:v>ABDO CARIM KHALED GHANDOUR</x:v>
      </x:c>
      <x:c r="D840" s="38" t="str">
        <x:f>"03427753832"</x:f>
        <x:v>03427753832</x:v>
      </x:c>
      <x:c r="E840" s="38" t="str">
        <x:f>""</x:f>
      </x:c>
      <x:c r="F840" s="38" t="str"/>
      <x:c r="G840" s="39" t="n">
        <x:v>46147</x:v>
      </x:c>
      <x:c r="H840" s="16" t="str">
        <x:v>05/2026</x:v>
      </x:c>
      <x:c r="I840" s="40" t="n">
        <x:v>2482.54</x:v>
      </x:c>
      <x:c r="J840" s="40" t="n">
        <x:v>2608.16</x:v>
      </x:c>
      <x:c r="K840" s="16" t="str">
        <x:v>Novo</x:v>
      </x:c>
      <x:c r="L840" s="16" t="str">
        <x:v>Em aberto</x:v>
      </x:c>
      <x:c r="M840" s="16" t="str">
        <x:v>03770981-f6bf-4a4d-97eb-1e36efaddbc2</x:v>
      </x:c>
      <x:c r="N840" s="41" t="str"/>
    </x:row>
    <x:row r="841">
      <x:c r="A841" s="37" t="str">
        <x:f>"000181"</x:f>
        <x:v>000181</x:v>
      </x:c>
      <x:c r="B841" s="38" t="str">
        <x:f>"B"</x:f>
        <x:v>B</x:v>
      </x:c>
      <x:c r="C841" s="38" t="str">
        <x:v>LEANDRO TADEU UEMA</x:v>
      </x:c>
      <x:c r="D841" s="38" t="str">
        <x:f>"28865064862"</x:f>
        <x:v>28865064862</x:v>
      </x:c>
      <x:c r="E841" s="38" t="str">
        <x:f>""</x:f>
      </x:c>
      <x:c r="F841" s="38" t="str">
        <x:v>ltuema@gmail.com</x:v>
      </x:c>
      <x:c r="G841" s="39" t="n">
        <x:v>46030</x:v>
      </x:c>
      <x:c r="H841" s="16" t="str">
        <x:v>01/2026</x:v>
      </x:c>
      <x:c r="I841" s="40" t="n">
        <x:v>1102.11</x:v>
      </x:c>
      <x:c r="J841" s="40" t="n">
        <x:v>1227.84</x:v>
      </x:c>
      <x:c r="K841" s="16" t="str">
        <x:v>Novo</x:v>
      </x:c>
      <x:c r="L841" s="16" t="str">
        <x:v>Em aberto</x:v>
      </x:c>
      <x:c r="M841" s="16" t="str">
        <x:v>245e6ea8-8d51-4b82-9178-c2bd2f1cc535</x:v>
      </x:c>
      <x:c r="N841" s="41" t="str"/>
    </x:row>
    <x:row r="842">
      <x:c r="A842" s="37" t="str">
        <x:f>"000181"</x:f>
        <x:v>000181</x:v>
      </x:c>
      <x:c r="B842" s="38" t="str">
        <x:f>"B"</x:f>
        <x:v>B</x:v>
      </x:c>
      <x:c r="C842" s="38" t="str">
        <x:v>LEANDRO TADEU UEMA</x:v>
      </x:c>
      <x:c r="D842" s="38" t="str">
        <x:f>"28865064862"</x:f>
        <x:v>28865064862</x:v>
      </x:c>
      <x:c r="E842" s="38" t="str">
        <x:f>""</x:f>
      </x:c>
      <x:c r="F842" s="38" t="str">
        <x:v>ltuema@gmail.com</x:v>
      </x:c>
      <x:c r="G842" s="39" t="n">
        <x:v>46061</x:v>
      </x:c>
      <x:c r="H842" s="16" t="str">
        <x:v>02/2026</x:v>
      </x:c>
      <x:c r="I842" s="40" t="n">
        <x:v>2908.5</x:v>
      </x:c>
      <x:c r="J842" s="40" t="n">
        <x:v>3196.9</x:v>
      </x:c>
      <x:c r="K842" s="16" t="str">
        <x:v>Novo</x:v>
      </x:c>
      <x:c r="L842" s="16" t="str">
        <x:v>Em aberto</x:v>
      </x:c>
      <x:c r="M842" s="16" t="str">
        <x:v>39585e41-8aac-4249-b8aa-51965cbfb9aa</x:v>
      </x:c>
      <x:c r="N842" s="41" t="str"/>
    </x:row>
    <x:row r="843">
      <x:c r="A843" s="37" t="str">
        <x:f>"000181"</x:f>
        <x:v>000181</x:v>
      </x:c>
      <x:c r="B843" s="38" t="str">
        <x:f>"B"</x:f>
        <x:v>B</x:v>
      </x:c>
      <x:c r="C843" s="38" t="str">
        <x:v>LEANDRO TADEU UEMA</x:v>
      </x:c>
      <x:c r="D843" s="38" t="str">
        <x:f>"28865064862"</x:f>
        <x:v>28865064862</x:v>
      </x:c>
      <x:c r="E843" s="38" t="str">
        <x:f>""</x:f>
      </x:c>
      <x:c r="F843" s="38" t="str">
        <x:v>ltuema@gmail.com</x:v>
      </x:c>
      <x:c r="G843" s="39" t="n">
        <x:v>46086</x:v>
      </x:c>
      <x:c r="H843" s="16" t="str">
        <x:v>03/2026</x:v>
      </x:c>
      <x:c r="I843" s="40" t="n">
        <x:v>2725.51</x:v>
      </x:c>
      <x:c r="J843" s="40" t="n">
        <x:v>2989.34</x:v>
      </x:c>
      <x:c r="K843" s="16" t="str">
        <x:v>Novo</x:v>
      </x:c>
      <x:c r="L843" s="16" t="str">
        <x:v>Em aberto</x:v>
      </x:c>
      <x:c r="M843" s="16" t="str">
        <x:v>42d75764-c0f0-4043-98f8-1eb9439a23f9</x:v>
      </x:c>
      <x:c r="N843" s="41" t="str"/>
    </x:row>
    <x:row r="844">
      <x:c r="A844" s="37" t="str">
        <x:f>"000181"</x:f>
        <x:v>000181</x:v>
      </x:c>
      <x:c r="B844" s="38" t="str">
        <x:f>"B"</x:f>
        <x:v>B</x:v>
      </x:c>
      <x:c r="C844" s="38" t="str">
        <x:v>LEANDRO TADEU UEMA</x:v>
      </x:c>
      <x:c r="D844" s="38" t="str">
        <x:f>"28865064862"</x:f>
        <x:v>28865064862</x:v>
      </x:c>
      <x:c r="E844" s="38" t="str">
        <x:f>""</x:f>
      </x:c>
      <x:c r="F844" s="38" t="str">
        <x:v>ltuema@gmail.com</x:v>
      </x:c>
      <x:c r="G844" s="39" t="n">
        <x:v>46117</x:v>
      </x:c>
      <x:c r="H844" s="16" t="str">
        <x:v>04/2026</x:v>
      </x:c>
      <x:c r="I844" s="40" t="n">
        <x:v>2769.95</x:v>
      </x:c>
      <x:c r="J844" s="40" t="n">
        <x:v>2993.58</x:v>
      </x:c>
      <x:c r="K844" s="16" t="str">
        <x:v>Novo</x:v>
      </x:c>
      <x:c r="L844" s="16" t="str">
        <x:v>Em aberto</x:v>
      </x:c>
      <x:c r="M844" s="16" t="str">
        <x:v>55715b1a-bbda-48d0-a1c5-c621206dd4b5</x:v>
      </x:c>
      <x:c r="N844" s="41" t="str"/>
    </x:row>
    <x:row r="845">
      <x:c r="A845" s="37" t="str">
        <x:f>"000182"</x:f>
        <x:v>000182</x:v>
      </x:c>
      <x:c r="B845" s="38" t="str">
        <x:f>"C"</x:f>
        <x:v>C</x:v>
      </x:c>
      <x:c r="C845" s="38" t="str">
        <x:v>RENATO TAI</x:v>
      </x:c>
      <x:c r="D845" s="38" t="str">
        <x:f>""</x:f>
      </x:c>
      <x:c r="E845" s="38" t="str">
        <x:f>""</x:f>
      </x:c>
      <x:c r="F845" s="38" t="str"/>
      <x:c r="G845" s="39" t="n">
        <x:v>46047</x:v>
      </x:c>
      <x:c r="H845" s="16" t="str">
        <x:v>01/2026</x:v>
      </x:c>
      <x:c r="I845" s="40" t="n">
        <x:v>312</x:v>
      </x:c>
      <x:c r="J845" s="40" t="n">
        <x:v>347.6</x:v>
      </x:c>
      <x:c r="K845" s="16" t="str">
        <x:v>Novo</x:v>
      </x:c>
      <x:c r="L845" s="16" t="str">
        <x:v>Em aberto</x:v>
      </x:c>
      <x:c r="M845" s="16" t="str">
        <x:v>6723957e-6d55-4c98-a791-ade6638df3d6</x:v>
      </x:c>
      <x:c r="N845" s="41" t="str"/>
    </x:row>
    <x:row r="846">
      <x:c r="A846" s="37" t="str">
        <x:f>"000182"</x:f>
        <x:v>000182</x:v>
      </x:c>
      <x:c r="B846" s="38" t="str">
        <x:f>"C"</x:f>
        <x:v>C</x:v>
      </x:c>
      <x:c r="C846" s="38" t="str">
        <x:v>RENATO TAI</x:v>
      </x:c>
      <x:c r="D846" s="38" t="str">
        <x:f>""</x:f>
      </x:c>
      <x:c r="E846" s="38" t="str">
        <x:f>""</x:f>
      </x:c>
      <x:c r="F846" s="38" t="str"/>
      <x:c r="G846" s="39" t="n">
        <x:v>46086</x:v>
      </x:c>
      <x:c r="H846" s="16" t="str">
        <x:v>03/2026</x:v>
      </x:c>
      <x:c r="I846" s="40" t="n">
        <x:v>2630.27</x:v>
      </x:c>
      <x:c r="J846" s="40" t="n">
        <x:v>2884.88</x:v>
      </x:c>
      <x:c r="K846" s="16" t="str">
        <x:v>Novo</x:v>
      </x:c>
      <x:c r="L846" s="16" t="str">
        <x:v>Em aberto</x:v>
      </x:c>
      <x:c r="M846" s="16" t="str">
        <x:v>ac77ee89-aaff-4b1a-bb0a-673489d466af</x:v>
      </x:c>
      <x:c r="N846" s="41" t="str"/>
    </x:row>
    <x:row r="847">
      <x:c r="A847" s="37" t="str">
        <x:f>"000182"</x:f>
        <x:v>000182</x:v>
      </x:c>
      <x:c r="B847" s="38" t="str">
        <x:f>"C"</x:f>
        <x:v>C</x:v>
      </x:c>
      <x:c r="C847" s="38" t="str">
        <x:v>RENATO TAI</x:v>
      </x:c>
      <x:c r="D847" s="38" t="str">
        <x:f>""</x:f>
      </x:c>
      <x:c r="E847" s="38" t="str">
        <x:f>""</x:f>
      </x:c>
      <x:c r="F847" s="38" t="str"/>
      <x:c r="G847" s="39" t="n">
        <x:v>46117</x:v>
      </x:c>
      <x:c r="H847" s="16" t="str">
        <x:v>04/2026</x:v>
      </x:c>
      <x:c r="I847" s="40" t="n">
        <x:v>2603.37</x:v>
      </x:c>
      <x:c r="J847" s="40" t="n">
        <x:v>2813.55</x:v>
      </x:c>
      <x:c r="K847" s="16" t="str">
        <x:v>Novo</x:v>
      </x:c>
      <x:c r="L847" s="16" t="str">
        <x:v>Em aberto</x:v>
      </x:c>
      <x:c r="M847" s="16" t="str">
        <x:v>01eaecd5-6c24-4c65-b6a6-d9abdf0e5b0e</x:v>
      </x:c>
      <x:c r="N847" s="41" t="str"/>
    </x:row>
    <x:row r="848">
      <x:c r="A848" s="37" t="str">
        <x:f>"000182"</x:f>
        <x:v>000182</x:v>
      </x:c>
      <x:c r="B848" s="38" t="str">
        <x:f>"C"</x:f>
        <x:v>C</x:v>
      </x:c>
      <x:c r="C848" s="38" t="str">
        <x:v>RENATO TAI</x:v>
      </x:c>
      <x:c r="D848" s="38" t="str">
        <x:f>""</x:f>
      </x:c>
      <x:c r="E848" s="38" t="str">
        <x:f>""</x:f>
      </x:c>
      <x:c r="F848" s="38" t="str"/>
      <x:c r="G848" s="39" t="n">
        <x:v>46147</x:v>
      </x:c>
      <x:c r="H848" s="16" t="str">
        <x:v>05/2026</x:v>
      </x:c>
      <x:c r="I848" s="40" t="n">
        <x:v>2680.41</x:v>
      </x:c>
      <x:c r="J848" s="40" t="n">
        <x:v>2816.04</x:v>
      </x:c>
      <x:c r="K848" s="16" t="str">
        <x:v>Novo</x:v>
      </x:c>
      <x:c r="L848" s="16" t="str">
        <x:v>Em aberto</x:v>
      </x:c>
      <x:c r="M848" s="16" t="str">
        <x:v>d0f605bf-5ef6-4c39-abd7-caf18d8e6ed6</x:v>
      </x:c>
      <x:c r="N848" s="41" t="str"/>
    </x:row>
    <x:row r="849">
      <x:c r="A849" s="37" t="str">
        <x:f>"VG052M"</x:f>
        <x:v>VG052M</x:v>
      </x:c>
      <x:c r="B849" s="38" t="str">
        <x:f>"VAGA"</x:f>
        <x:v>VAGA</x:v>
      </x:c>
      <x:c r="C849" s="38" t="str">
        <x:v>RENATO TAI</x:v>
      </x:c>
      <x:c r="D849" s="38" t="str">
        <x:f>""</x:f>
      </x:c>
      <x:c r="E849" s="38" t="str">
        <x:f>""</x:f>
      </x:c>
      <x:c r="F849" s="38" t="str"/>
      <x:c r="G849" s="39" t="n">
        <x:v>46047</x:v>
      </x:c>
      <x:c r="H849" s="16" t="str">
        <x:v>01/2026</x:v>
      </x:c>
      <x:c r="I849" s="40" t="n">
        <x:v>15.19</x:v>
      </x:c>
      <x:c r="J849" s="40" t="n">
        <x:v>16.91</x:v>
      </x:c>
      <x:c r="K849" s="16" t="str">
        <x:v>Novo</x:v>
      </x:c>
      <x:c r="L849" s="16" t="str">
        <x:v>Em aberto</x:v>
      </x:c>
      <x:c r="M849" s="16" t="str">
        <x:v>64484ccc-1a90-4c35-be3a-3b448db0e9ec</x:v>
      </x:c>
      <x:c r="N849" s="41" t="str"/>
    </x:row>
    <x:row r="850">
      <x:c r="A850" s="37" t="str">
        <x:f>"VG052M"</x:f>
        <x:v>VG052M</x:v>
      </x:c>
      <x:c r="B850" s="38" t="str">
        <x:f>"VAGA"</x:f>
        <x:v>VAGA</x:v>
      </x:c>
      <x:c r="C850" s="38" t="str">
        <x:v>RENATO TAI</x:v>
      </x:c>
      <x:c r="D850" s="38" t="str">
        <x:f>""</x:f>
      </x:c>
      <x:c r="E850" s="38" t="str">
        <x:f>""</x:f>
      </x:c>
      <x:c r="F850" s="38" t="str"/>
      <x:c r="G850" s="39" t="n">
        <x:v>46086</x:v>
      </x:c>
      <x:c r="H850" s="16" t="str">
        <x:v>03/2026</x:v>
      </x:c>
      <x:c r="I850" s="40" t="n">
        <x:v>113.82</x:v>
      </x:c>
      <x:c r="J850" s="40" t="n">
        <x:v>124.83</x:v>
      </x:c>
      <x:c r="K850" s="16" t="str">
        <x:v>Novo</x:v>
      </x:c>
      <x:c r="L850" s="16" t="str">
        <x:v>Em aberto</x:v>
      </x:c>
      <x:c r="M850" s="16" t="str">
        <x:v>122d9543-e4e2-49d2-8fa5-c86ee3b3827d</x:v>
      </x:c>
      <x:c r="N850" s="41" t="str"/>
    </x:row>
    <x:row r="851">
      <x:c r="A851" s="37" t="str">
        <x:f>"VG052M"</x:f>
        <x:v>VG052M</x:v>
      </x:c>
      <x:c r="B851" s="38" t="str">
        <x:f>"VAGA"</x:f>
        <x:v>VAGA</x:v>
      </x:c>
      <x:c r="C851" s="38" t="str">
        <x:v>RENATO TAI</x:v>
      </x:c>
      <x:c r="D851" s="38" t="str">
        <x:f>""</x:f>
      </x:c>
      <x:c r="E851" s="38" t="str">
        <x:f>""</x:f>
      </x:c>
      <x:c r="F851" s="38" t="str"/>
      <x:c r="G851" s="39" t="n">
        <x:v>46117</x:v>
      </x:c>
      <x:c r="H851" s="16" t="str">
        <x:v>04/2026</x:v>
      </x:c>
      <x:c r="I851" s="40" t="n">
        <x:v>113.82</x:v>
      </x:c>
      <x:c r="J851" s="40" t="n">
        <x:v>123</x:v>
      </x:c>
      <x:c r="K851" s="16" t="str">
        <x:v>Novo</x:v>
      </x:c>
      <x:c r="L851" s="16" t="str">
        <x:v>Em aberto</x:v>
      </x:c>
      <x:c r="M851" s="16" t="str">
        <x:v>fec1d7f0-e49f-48bc-bcd9-582d871c3fd3</x:v>
      </x:c>
      <x:c r="N851" s="41" t="str"/>
    </x:row>
    <x:row r="852">
      <x:c r="A852" s="42" t="str">
        <x:f>"VG052M"</x:f>
        <x:v>VG052M</x:v>
      </x:c>
      <x:c r="B852" s="43" t="str">
        <x:f>"VAGA"</x:f>
        <x:v>VAGA</x:v>
      </x:c>
      <x:c r="C852" s="43" t="str">
        <x:v>RENATO TAI</x:v>
      </x:c>
      <x:c r="D852" s="43" t="str">
        <x:f>""</x:f>
      </x:c>
      <x:c r="E852" s="43" t="str">
        <x:f>""</x:f>
      </x:c>
      <x:c r="F852" s="43" t="str"/>
      <x:c r="G852" s="44" t="n">
        <x:v>46147</x:v>
      </x:c>
      <x:c r="H852" s="20" t="str">
        <x:v>05/2026</x:v>
      </x:c>
      <x:c r="I852" s="45" t="n">
        <x:v>113.82</x:v>
      </x:c>
      <x:c r="J852" s="45" t="n">
        <x:v>119.58</x:v>
      </x:c>
      <x:c r="K852" s="20" t="str">
        <x:v>Novo</x:v>
      </x:c>
      <x:c r="L852" s="20" t="str">
        <x:v>Em aberto</x:v>
      </x:c>
      <x:c r="M852" s="20" t="str">
        <x:v>aa1ccfb2-7870-4011-ad87-ccc06024c88e</x:v>
      </x:c>
      <x:c r="N852" s="46" t="str"/>
    </x:row>
    <x:row r="853">
      <x:c r="A853" s="47" t="str">
        <x:v>Subtotal</x:v>
      </x:c>
      <x:c r="B853" s="47" t="str"/>
      <x:c r="C853" s="47" t="str"/>
      <x:c r="D853" s="47" t="str"/>
      <x:c r="E853" s="47" t="str"/>
      <x:c r="F853" s="47" t="str"/>
      <x:c r="G853" s="47" t="str"/>
      <x:c r="H853" s="47" t="str"/>
      <x:c r="I853" s="47" t="str"/>
      <x:c r="J853" s="48" t="n">
        <x:v>36905.3</x:v>
      </x:c>
      <x:c r="K853" s="47" t="str">
        <x:v>19 novas</x:v>
      </x:c>
      <x:c r="L853" s="47" t="str">
        <x:v>0 ativas</x:v>
      </x:c>
      <x:c r="M853" s="47" t="str"/>
      <x:c r="N853" s="47" t="str"/>
    </x:row>
    <x:row r="855">
      <x:c r="A855" s="26" t="str">
        <x:v>CONDOMINIO RESERVA BUTANTA</x:v>
      </x:c>
      <x:c r="B855" s="26"/>
      <x:c r="C855" s="26"/>
      <x:c r="D855" s="26"/>
      <x:c r="E855" s="26"/>
      <x:c r="F855" s="26"/>
      <x:c r="G855" s="26"/>
      <x:c r="H855" s="26"/>
      <x:c r="I855" s="26"/>
      <x:c r="J855" s="26"/>
      <x:c r="K855" s="26"/>
      <x:c r="L855" s="26"/>
      <x:c r="M855" s="26"/>
      <x:c r="N855" s="26"/>
    </x:row>
    <x:row r="856">
      <x:c r="A856" s="28" t="str">
        <x:v>CNPJ</x:v>
      </x:c>
      <x:c r="B856" s="28" t="str">
        <x:v>18.777.394/0001-54</x:v>
      </x:c>
      <x:c r="C856" s="28"/>
      <x:c r="D856" s="28" t="str">
        <x:v>Dia de vencimento</x:v>
      </x:c>
      <x:c r="E856" s="28" t="n">
        <x:v>10</x:v>
      </x:c>
      <x:c r="F856" s="28" t="str">
        <x:v>Régua</x:v>
      </x:c>
      <x:c r="G856" s="28" t="str">
        <x:v>D+30 · pré-jurídico em D+60</x:v>
      </x:c>
      <x:c r="H856" s="28"/>
      <x:c r="I856" s="28"/>
      <x:c r="J856" s="28"/>
      <x:c r="K856" s="28"/>
      <x:c r="L856" s="28"/>
      <x:c r="M856" s="28"/>
      <x:c r="N856" s="28"/>
    </x:row>
    <x:row r="857">
      <x:c r="A857" s="9" t="str">
        <x:v>Unidade</x:v>
      </x:c>
      <x:c r="B857" s="9" t="str">
        <x:v>Bloco</x:v>
      </x:c>
      <x:c r="C857" s="9" t="str">
        <x:v>Responsável</x:v>
      </x:c>
      <x:c r="D857" s="9" t="str">
        <x:v>Documento</x:v>
      </x:c>
      <x:c r="E857" s="9" t="str">
        <x:v>Telefone</x:v>
      </x:c>
      <x:c r="F857" s="9" t="str">
        <x:v>E-mail</x:v>
      </x:c>
      <x:c r="G857" s="9" t="str">
        <x:v>Vencimento</x:v>
      </x:c>
      <x:c r="H857" s="9" t="str">
        <x:v>Competência</x:v>
      </x:c>
      <x:c r="I857" s="9" t="str">
        <x:v>Valor original</x:v>
      </x:c>
      <x:c r="J857" s="9" t="str">
        <x:v>Valor atualizado</x:v>
      </x:c>
      <x:c r="K857" s="9" t="str">
        <x:v>Status operacional</x:v>
      </x:c>
      <x:c r="L857" s="9" t="str">
        <x:v>Status financeiro</x:v>
      </x:c>
      <x:c r="M857" s="9" t="str">
        <x:v>ID cobrança</x:v>
      </x:c>
      <x:c r="N857" s="9" t="str">
        <x:v>Observação</x:v>
      </x:c>
    </x:row>
    <x:row r="858">
      <x:c r="A858" s="31" t="str">
        <x:f>"000008"</x:f>
        <x:v>000008</x:v>
      </x:c>
      <x:c r="B858" s="32" t="str">
        <x:f>"03"</x:f>
        <x:v>03</x:v>
      </x:c>
      <x:c r="C858" s="32" t="str">
        <x:v>WAGNER TADEU DO VALLE</x:v>
      </x:c>
      <x:c r="D858" s="32" t="str">
        <x:f>"06446923830"</x:f>
        <x:v>06446923830</x:v>
      </x:c>
      <x:c r="E858" s="32" t="str">
        <x:f>""</x:f>
      </x:c>
      <x:c r="F858" s="32" t="str">
        <x:v>wagner@servsix.com.br</x:v>
      </x:c>
      <x:c r="G858" s="33" t="n">
        <x:v>46032</x:v>
      </x:c>
      <x:c r="H858" s="34" t="str">
        <x:v>01/2026</x:v>
      </x:c>
      <x:c r="I858" s="35" t="n">
        <x:v>1050.56</x:v>
      </x:c>
      <x:c r="J858" s="35" t="n">
        <x:v>1146.58</x:v>
      </x:c>
      <x:c r="K858" s="34" t="str">
        <x:v>Novo</x:v>
      </x:c>
      <x:c r="L858" s="34" t="str">
        <x:v>Em aberto</x:v>
      </x:c>
      <x:c r="M858" s="34" t="str">
        <x:v>6cca79c4-eed9-4611-b539-964bd8ba9466</x:v>
      </x:c>
      <x:c r="N858" s="36" t="str"/>
    </x:row>
    <x:row r="859">
      <x:c r="A859" s="37" t="str">
        <x:f>"000008"</x:f>
        <x:v>000008</x:v>
      </x:c>
      <x:c r="B859" s="38" t="str">
        <x:f>"03"</x:f>
        <x:v>03</x:v>
      </x:c>
      <x:c r="C859" s="38" t="str">
        <x:v>WAGNER TADEU DO VALLE</x:v>
      </x:c>
      <x:c r="D859" s="38" t="str">
        <x:f>"06446923830"</x:f>
        <x:v>06446923830</x:v>
      </x:c>
      <x:c r="E859" s="38" t="str">
        <x:f>""</x:f>
      </x:c>
      <x:c r="F859" s="38" t="str">
        <x:v>wagner@servsix.com.br</x:v>
      </x:c>
      <x:c r="G859" s="39" t="n">
        <x:v>46063</x:v>
      </x:c>
      <x:c r="H859" s="16" t="str">
        <x:v>02/2026</x:v>
      </x:c>
      <x:c r="I859" s="40" t="n">
        <x:v>1050.57</x:v>
      </x:c>
      <x:c r="J859" s="40" t="n">
        <x:v>1135.87</x:v>
      </x:c>
      <x:c r="K859" s="16" t="str">
        <x:v>Novo</x:v>
      </x:c>
      <x:c r="L859" s="16" t="str">
        <x:v>Em aberto</x:v>
      </x:c>
      <x:c r="M859" s="16" t="str">
        <x:v>cf1fed24-4efe-4101-b5fb-525831a75642</x:v>
      </x:c>
      <x:c r="N859" s="41" t="str"/>
    </x:row>
    <x:row r="860">
      <x:c r="A860" s="37" t="str">
        <x:f>"000008"</x:f>
        <x:v>000008</x:v>
      </x:c>
      <x:c r="B860" s="38" t="str">
        <x:f>"03"</x:f>
        <x:v>03</x:v>
      </x:c>
      <x:c r="C860" s="38" t="str">
        <x:v>WAGNER TADEU DO VALLE</x:v>
      </x:c>
      <x:c r="D860" s="38" t="str">
        <x:f>"06446923830"</x:f>
        <x:v>06446923830</x:v>
      </x:c>
      <x:c r="E860" s="38" t="str">
        <x:f>""</x:f>
      </x:c>
      <x:c r="F860" s="38" t="str">
        <x:v>wagner@servsix.com.br</x:v>
      </x:c>
      <x:c r="G860" s="39" t="n">
        <x:v>46091</x:v>
      </x:c>
      <x:c r="H860" s="16" t="str">
        <x:v>03/2026</x:v>
      </x:c>
      <x:c r="I860" s="40" t="n">
        <x:v>1050.57</x:v>
      </x:c>
      <x:c r="J860" s="40" t="n">
        <x:v>1125.16</x:v>
      </x:c>
      <x:c r="K860" s="16" t="str">
        <x:v>Novo</x:v>
      </x:c>
      <x:c r="L860" s="16" t="str">
        <x:v>Em aberto</x:v>
      </x:c>
      <x:c r="M860" s="16" t="str">
        <x:v>4cab8968-9385-4ec8-8e2b-12ba7174aa38</x:v>
      </x:c>
      <x:c r="N860" s="41" t="str"/>
    </x:row>
    <x:row r="861">
      <x:c r="A861" s="37" t="str">
        <x:f>"000023"</x:f>
        <x:v>000023</x:v>
      </x:c>
      <x:c r="B861" s="38" t="str">
        <x:f>"03"</x:f>
        <x:v>03</x:v>
      </x:c>
      <x:c r="C861" s="38" t="str">
        <x:v>RODRIGO KYOSHI MATUMOTO</x:v>
      </x:c>
      <x:c r="D861" s="38" t="str">
        <x:f>"32551812836"</x:f>
        <x:v>32551812836</x:v>
      </x:c>
      <x:c r="E861" s="38" t="str">
        <x:f>"11972303150"</x:f>
        <x:v>11972303150</x:v>
      </x:c>
      <x:c r="F861" s="38" t="str">
        <x:v>rodrigokm@yahoo.com.br</x:v>
      </x:c>
      <x:c r="G861" s="39" t="n">
        <x:v>46213</x:v>
      </x:c>
      <x:c r="H861" s="16" t="str">
        <x:v>07/2026</x:v>
      </x:c>
      <x:c r="I861" s="40" t="n">
        <x:v>1191.51</x:v>
      </x:c>
      <x:c r="J861" s="40" t="n">
        <x:v>1227.49</x:v>
      </x:c>
      <x:c r="K861" s="16" t="str">
        <x:v>Novo</x:v>
      </x:c>
      <x:c r="L861" s="16" t="str">
        <x:v>Em aberto</x:v>
      </x:c>
      <x:c r="M861" s="16" t="str">
        <x:v>5008f193-ac18-4c59-938b-0d9de0fc7c24</x:v>
      </x:c>
      <x:c r="N861" s="41" t="str"/>
    </x:row>
    <x:row r="862">
      <x:c r="A862" s="37" t="str">
        <x:f>"000031"</x:f>
        <x:v>000031</x:v>
      </x:c>
      <x:c r="B862" s="38" t="str">
        <x:f>"03"</x:f>
        <x:v>03</x:v>
      </x:c>
      <x:c r="C862" s="38" t="str">
        <x:v>FELIPPE MAURER C.CASTELLO WELLAUSEN</x:v>
      </x:c>
      <x:c r="D862" s="38" t="str">
        <x:f>"32867950899"</x:f>
        <x:v>32867950899</x:v>
      </x:c>
      <x:c r="E862" s="38" t="str">
        <x:f>"11972902244"</x:f>
        <x:v>11972902244</x:v>
      </x:c>
      <x:c r="F862" s="38" t="str">
        <x:v>gabrieljorgerosa@outlook.com</x:v>
      </x:c>
      <x:c r="G862" s="39" t="n">
        <x:v>46183</x:v>
      </x:c>
      <x:c r="H862" s="16" t="str">
        <x:v>06/2026</x:v>
      </x:c>
      <x:c r="I862" s="40" t="n">
        <x:v>1198.08</x:v>
      </x:c>
      <x:c r="J862" s="40" t="n">
        <x:v>1246.48</x:v>
      </x:c>
      <x:c r="K862" s="16" t="str">
        <x:v>Novo</x:v>
      </x:c>
      <x:c r="L862" s="16" t="str">
        <x:v>Em aberto</x:v>
      </x:c>
      <x:c r="M862" s="16" t="str">
        <x:v>af3986c4-829f-4479-9700-125b250f479d</x:v>
      </x:c>
      <x:c r="N862" s="41" t="str"/>
    </x:row>
    <x:row r="863">
      <x:c r="A863" s="37" t="str">
        <x:f>"000031"</x:f>
        <x:v>000031</x:v>
      </x:c>
      <x:c r="B863" s="38" t="str">
        <x:f>"03"</x:f>
        <x:v>03</x:v>
      </x:c>
      <x:c r="C863" s="38" t="str">
        <x:v>FELIPPE MAURER C.CASTELLO WELLAUSEN</x:v>
      </x:c>
      <x:c r="D863" s="38" t="str">
        <x:f>"32867950899"</x:f>
        <x:v>32867950899</x:v>
      </x:c>
      <x:c r="E863" s="38" t="str">
        <x:f>"11972902244"</x:f>
        <x:v>11972902244</x:v>
      </x:c>
      <x:c r="F863" s="38" t="str">
        <x:v>gabrieljorgerosa@outlook.com</x:v>
      </x:c>
      <x:c r="G863" s="39" t="n">
        <x:v>46213</x:v>
      </x:c>
      <x:c r="H863" s="16" t="str">
        <x:v>07/2026</x:v>
      </x:c>
      <x:c r="I863" s="40" t="n">
        <x:v>1198.08</x:v>
      </x:c>
      <x:c r="J863" s="40" t="n">
        <x:v>1234.26</x:v>
      </x:c>
      <x:c r="K863" s="16" t="str">
        <x:v>Novo</x:v>
      </x:c>
      <x:c r="L863" s="16" t="str">
        <x:v>Em aberto</x:v>
      </x:c>
      <x:c r="M863" s="16" t="str">
        <x:v>6eddcaa7-5d67-4b87-af2b-688b2b575c8d</x:v>
      </x:c>
      <x:c r="N863" s="41" t="str"/>
    </x:row>
    <x:row r="864">
      <x:c r="A864" s="37" t="str">
        <x:f>"000034"</x:f>
        <x:v>000034</x:v>
      </x:c>
      <x:c r="B864" s="38" t="str">
        <x:f>"01"</x:f>
        <x:v>01</x:v>
      </x:c>
      <x:c r="C864" s="38" t="str">
        <x:v>IGOR GUIMARAES GERALDI</x:v>
      </x:c>
      <x:c r="D864" s="38" t="str">
        <x:f>"32810238863"</x:f>
        <x:v>32810238863</x:v>
      </x:c>
      <x:c r="E864" s="38" t="str">
        <x:f>"1137354764"</x:f>
        <x:v>1137354764</x:v>
      </x:c>
      <x:c r="F864" s="38" t="str">
        <x:v>deborahsantoss1780@gmail.com</x:v>
      </x:c>
      <x:c r="G864" s="39" t="n">
        <x:v>46213</x:v>
      </x:c>
      <x:c r="H864" s="16" t="str">
        <x:v>07/2026</x:v>
      </x:c>
      <x:c r="I864" s="40" t="n">
        <x:v>1231.51</x:v>
      </x:c>
      <x:c r="J864" s="40" t="n">
        <x:v>1268.7</x:v>
      </x:c>
      <x:c r="K864" s="16" t="str">
        <x:v>Novo</x:v>
      </x:c>
      <x:c r="L864" s="16" t="str">
        <x:v>Em aberto</x:v>
      </x:c>
      <x:c r="M864" s="16" t="str">
        <x:v>ca724dae-c385-4250-a4e0-b475d2e0fe63</x:v>
      </x:c>
      <x:c r="N864" s="41" t="str"/>
    </x:row>
    <x:row r="865">
      <x:c r="A865" s="37" t="str">
        <x:f>"000042"</x:f>
        <x:v>000042</x:v>
      </x:c>
      <x:c r="B865" s="38" t="str">
        <x:f>"01"</x:f>
        <x:v>01</x:v>
      </x:c>
      <x:c r="C865" s="38" t="str">
        <x:v>VIRIATO IGNACIO NETO</x:v>
      </x:c>
      <x:c r="D865" s="38" t="str">
        <x:f>"28410821800"</x:f>
        <x:v>28410821800</x:v>
      </x:c>
      <x:c r="E865" s="38" t="str">
        <x:f>"11997996510"</x:f>
        <x:v>11997996510</x:v>
      </x:c>
      <x:c r="F865" s="38" t="str">
        <x:v>viriatoignacio@gmail.com</x:v>
      </x:c>
      <x:c r="G865" s="39" t="n">
        <x:v>46122</x:v>
      </x:c>
      <x:c r="H865" s="16" t="str">
        <x:v>04/2026</x:v>
      </x:c>
      <x:c r="I865" s="40" t="n">
        <x:v>377.46</x:v>
      </x:c>
      <x:c r="J865" s="40" t="n">
        <x:v>400.41</x:v>
      </x:c>
      <x:c r="K865" s="16" t="str">
        <x:v>Novo</x:v>
      </x:c>
      <x:c r="L865" s="16" t="str">
        <x:v>Em aberto</x:v>
      </x:c>
      <x:c r="M865" s="16" t="str">
        <x:v>c10f5345-6c58-4f30-b2f3-053a9667bc76</x:v>
      </x:c>
      <x:c r="N865" s="41" t="str"/>
    </x:row>
    <x:row r="866">
      <x:c r="A866" s="37" t="str">
        <x:f>"000042"</x:f>
        <x:v>000042</x:v>
      </x:c>
      <x:c r="B866" s="38" t="str">
        <x:f>"01"</x:f>
        <x:v>01</x:v>
      </x:c>
      <x:c r="C866" s="38" t="str">
        <x:v>VIRIATO IGNACIO NETO</x:v>
      </x:c>
      <x:c r="D866" s="38" t="str">
        <x:f>"28410821800"</x:f>
        <x:v>28410821800</x:v>
      </x:c>
      <x:c r="E866" s="38" t="str">
        <x:f>"11997996510"</x:f>
        <x:v>11997996510</x:v>
      </x:c>
      <x:c r="F866" s="38" t="str">
        <x:v>viriatoignacio@gmail.com</x:v>
      </x:c>
      <x:c r="G866" s="39" t="n">
        <x:v>46152</x:v>
      </x:c>
      <x:c r="H866" s="16" t="str">
        <x:v>05/2026</x:v>
      </x:c>
      <x:c r="I866" s="40" t="n">
        <x:v>1198.08</x:v>
      </x:c>
      <x:c r="J866" s="40" t="n">
        <x:v>1258.71</x:v>
      </x:c>
      <x:c r="K866" s="16" t="str">
        <x:v>Novo</x:v>
      </x:c>
      <x:c r="L866" s="16" t="str">
        <x:v>Em aberto</x:v>
      </x:c>
      <x:c r="M866" s="16" t="str">
        <x:v>e7523344-0d99-4cc7-8ecb-6523aa1b7771</x:v>
      </x:c>
      <x:c r="N866" s="41" t="str"/>
    </x:row>
    <x:row r="867">
      <x:c r="A867" s="37" t="str">
        <x:f>"000042"</x:f>
        <x:v>000042</x:v>
      </x:c>
      <x:c r="B867" s="38" t="str">
        <x:f>"01"</x:f>
        <x:v>01</x:v>
      </x:c>
      <x:c r="C867" s="38" t="str">
        <x:v>VIRIATO IGNACIO NETO</x:v>
      </x:c>
      <x:c r="D867" s="38" t="str">
        <x:f>"28410821800"</x:f>
        <x:v>28410821800</x:v>
      </x:c>
      <x:c r="E867" s="38" t="str">
        <x:f>"11997996510"</x:f>
        <x:v>11997996510</x:v>
      </x:c>
      <x:c r="F867" s="38" t="str">
        <x:v>viriatoignacio@gmail.com</x:v>
      </x:c>
      <x:c r="G867" s="39" t="n">
        <x:v>46183</x:v>
      </x:c>
      <x:c r="H867" s="16" t="str">
        <x:v>06/2026</x:v>
      </x:c>
      <x:c r="I867" s="40" t="n">
        <x:v>1198.08</x:v>
      </x:c>
      <x:c r="J867" s="40" t="n">
        <x:v>1246.48</x:v>
      </x:c>
      <x:c r="K867" s="16" t="str">
        <x:v>Novo</x:v>
      </x:c>
      <x:c r="L867" s="16" t="str">
        <x:v>Em aberto</x:v>
      </x:c>
      <x:c r="M867" s="16" t="str">
        <x:v>8af85f21-483d-4fb2-8fa2-f107bc1350cc</x:v>
      </x:c>
      <x:c r="N867" s="41" t="str"/>
    </x:row>
    <x:row r="868">
      <x:c r="A868" s="37" t="str">
        <x:f>"000042"</x:f>
        <x:v>000042</x:v>
      </x:c>
      <x:c r="B868" s="38" t="str">
        <x:f>"01"</x:f>
        <x:v>01</x:v>
      </x:c>
      <x:c r="C868" s="38" t="str">
        <x:v>VIRIATO IGNACIO NETO</x:v>
      </x:c>
      <x:c r="D868" s="38" t="str">
        <x:f>"28410821800"</x:f>
        <x:v>28410821800</x:v>
      </x:c>
      <x:c r="E868" s="38" t="str">
        <x:f>"11997996510"</x:f>
        <x:v>11997996510</x:v>
      </x:c>
      <x:c r="F868" s="38" t="str">
        <x:v>viriatoignacio@gmail.com</x:v>
      </x:c>
      <x:c r="G868" s="39" t="n">
        <x:v>46213</x:v>
      </x:c>
      <x:c r="H868" s="16" t="str">
        <x:v>07/2026</x:v>
      </x:c>
      <x:c r="I868" s="40" t="n">
        <x:v>1198.08</x:v>
      </x:c>
      <x:c r="J868" s="40" t="n">
        <x:v>1234.26</x:v>
      </x:c>
      <x:c r="K868" s="16" t="str">
        <x:v>Novo</x:v>
      </x:c>
      <x:c r="L868" s="16" t="str">
        <x:v>Em aberto</x:v>
      </x:c>
      <x:c r="M868" s="16" t="str">
        <x:v>d961305d-161c-49bc-a9c6-73ba4e5cc6ab</x:v>
      </x:c>
      <x:c r="N868" s="41" t="str"/>
    </x:row>
    <x:row r="869">
      <x:c r="A869" s="42" t="str">
        <x:f>"000045"</x:f>
        <x:v>000045</x:v>
      </x:c>
      <x:c r="B869" s="43" t="str">
        <x:f>"03"</x:f>
        <x:v>03</x:v>
      </x:c>
      <x:c r="C869" s="43" t="str">
        <x:v>JOÃO BATISTA CORSI NETO</x:v>
      </x:c>
      <x:c r="D869" s="43" t="str">
        <x:f>""</x:f>
      </x:c>
      <x:c r="E869" s="43" t="str">
        <x:f>""</x:f>
      </x:c>
      <x:c r="F869" s="43" t="str"/>
      <x:c r="G869" s="44" t="n">
        <x:v>46213</x:v>
      </x:c>
      <x:c r="H869" s="20" t="str">
        <x:v>07/2026</x:v>
      </x:c>
      <x:c r="I869" s="45" t="n">
        <x:v>1198.08</x:v>
      </x:c>
      <x:c r="J869" s="45" t="n">
        <x:v>1234.26</x:v>
      </x:c>
      <x:c r="K869" s="20" t="str">
        <x:v>Novo</x:v>
      </x:c>
      <x:c r="L869" s="20" t="str">
        <x:v>Em aberto</x:v>
      </x:c>
      <x:c r="M869" s="20" t="str">
        <x:v>26caa7a4-6daa-474d-872b-5eeeb35a0f39</x:v>
      </x:c>
      <x:c r="N869" s="46" t="str"/>
    </x:row>
    <x:row r="870">
      <x:c r="A870" s="47" t="str">
        <x:v>Subtotal</x:v>
      </x:c>
      <x:c r="B870" s="47" t="str"/>
      <x:c r="C870" s="47" t="str"/>
      <x:c r="D870" s="47" t="str"/>
      <x:c r="E870" s="47" t="str"/>
      <x:c r="F870" s="47" t="str"/>
      <x:c r="G870" s="47" t="str"/>
      <x:c r="H870" s="47" t="str"/>
      <x:c r="I870" s="47" t="str"/>
      <x:c r="J870" s="48" t="n">
        <x:v>13758.66</x:v>
      </x:c>
      <x:c r="K870" s="47" t="str">
        <x:v>12 novas</x:v>
      </x:c>
      <x:c r="L870" s="47" t="str">
        <x:v>0 ativas</x:v>
      </x:c>
      <x:c r="M870" s="47" t="str"/>
      <x:c r="N870" s="47" t="str"/>
    </x:row>
    <x:row r="872">
      <x:c r="A872" s="26" t="str">
        <x:v>CONDOMÍNIO RESIDENCIAL MAIS ESTILO &amp; DESIGN MORUMBI</x:v>
      </x:c>
      <x:c r="B872" s="26"/>
      <x:c r="C872" s="26"/>
      <x:c r="D872" s="26"/>
      <x:c r="E872" s="26"/>
      <x:c r="F872" s="26"/>
      <x:c r="G872" s="26"/>
      <x:c r="H872" s="26"/>
      <x:c r="I872" s="26"/>
      <x:c r="J872" s="26"/>
      <x:c r="K872" s="26"/>
      <x:c r="L872" s="26"/>
      <x:c r="M872" s="26"/>
      <x:c r="N872" s="26"/>
    </x:row>
    <x:row r="873">
      <x:c r="A873" s="28" t="str">
        <x:v>CNPJ</x:v>
      </x:c>
      <x:c r="B873" s="28" t="str">
        <x:v>19.436.901/0001-59</x:v>
      </x:c>
      <x:c r="C873" s="28"/>
      <x:c r="D873" s="28" t="str">
        <x:v>Dia de vencimento</x:v>
      </x:c>
      <x:c r="E873" s="28" t="n">
        <x:v>10</x:v>
      </x:c>
      <x:c r="F873" s="28" t="str">
        <x:v>Régua</x:v>
      </x:c>
      <x:c r="G873" s="28" t="str">
        <x:v>D+30 · pré-jurídico em D+60</x:v>
      </x:c>
      <x:c r="H873" s="28"/>
      <x:c r="I873" s="28"/>
      <x:c r="J873" s="28"/>
      <x:c r="K873" s="28"/>
      <x:c r="L873" s="28"/>
      <x:c r="M873" s="28"/>
      <x:c r="N873" s="28"/>
    </x:row>
    <x:row r="874">
      <x:c r="A874" s="9" t="str">
        <x:v>Unidade</x:v>
      </x:c>
      <x:c r="B874" s="9" t="str">
        <x:v>Bloco</x:v>
      </x:c>
      <x:c r="C874" s="9" t="str">
        <x:v>Responsável</x:v>
      </x:c>
      <x:c r="D874" s="9" t="str">
        <x:v>Documento</x:v>
      </x:c>
      <x:c r="E874" s="9" t="str">
        <x:v>Telefone</x:v>
      </x:c>
      <x:c r="F874" s="9" t="str">
        <x:v>E-mail</x:v>
      </x:c>
      <x:c r="G874" s="9" t="str">
        <x:v>Vencimento</x:v>
      </x:c>
      <x:c r="H874" s="9" t="str">
        <x:v>Competência</x:v>
      </x:c>
      <x:c r="I874" s="9" t="str">
        <x:v>Valor original</x:v>
      </x:c>
      <x:c r="J874" s="9" t="str">
        <x:v>Valor atualizado</x:v>
      </x:c>
      <x:c r="K874" s="9" t="str">
        <x:v>Status operacional</x:v>
      </x:c>
      <x:c r="L874" s="9" t="str">
        <x:v>Status financeiro</x:v>
      </x:c>
      <x:c r="M874" s="9" t="str">
        <x:v>ID cobrança</x:v>
      </x:c>
      <x:c r="N874" s="9" t="str">
        <x:v>Observação</x:v>
      </x:c>
    </x:row>
    <x:row r="875">
      <x:c r="A875" s="31" t="str">
        <x:f>"000043"</x:f>
        <x:v>000043</x:v>
      </x:c>
      <x:c r="B875" s="32" t="str">
        <x:f>"1"</x:f>
        <x:v>1</x:v>
      </x:c>
      <x:c r="C875" s="32" t="str">
        <x:v>ANDRE DEDDING LACERDA</x:v>
      </x:c>
      <x:c r="D875" s="32" t="str">
        <x:f>"28580368880"</x:f>
        <x:v>28580368880</x:v>
      </x:c>
      <x:c r="E875" s="32" t="str">
        <x:f>"1198117377211981225712"</x:f>
        <x:v>1198117377211981225712</x:v>
      </x:c>
      <x:c r="F875" s="32" t="str">
        <x:v>andre.dedding@gmail.com</x:v>
      </x:c>
      <x:c r="G875" s="33" t="n">
        <x:v>46183</x:v>
      </x:c>
      <x:c r="H875" s="34" t="str">
        <x:v>06/2026</x:v>
      </x:c>
      <x:c r="I875" s="35" t="n">
        <x:v>1173.8</x:v>
      </x:c>
      <x:c r="J875" s="35" t="n">
        <x:v>1230.16</x:v>
      </x:c>
      <x:c r="K875" s="34" t="str">
        <x:v>Novo</x:v>
      </x:c>
      <x:c r="L875" s="34" t="str">
        <x:v>Em aberto</x:v>
      </x:c>
      <x:c r="M875" s="34" t="str">
        <x:v>6935b806-01c7-499e-8b54-d9aefb575e1d</x:v>
      </x:c>
      <x:c r="N875" s="36" t="str"/>
    </x:row>
    <x:row r="876">
      <x:c r="A876" s="37" t="str">
        <x:f>"000043"</x:f>
        <x:v>000043</x:v>
      </x:c>
      <x:c r="B876" s="38" t="str">
        <x:f>"1"</x:f>
        <x:v>1</x:v>
      </x:c>
      <x:c r="C876" s="38" t="str">
        <x:v>ANDRE DEDDING LACERDA</x:v>
      </x:c>
      <x:c r="D876" s="38" t="str">
        <x:f>"28580368880"</x:f>
        <x:v>28580368880</x:v>
      </x:c>
      <x:c r="E876" s="38" t="str">
        <x:f>"1198117377211981225712"</x:f>
        <x:v>1198117377211981225712</x:v>
      </x:c>
      <x:c r="F876" s="38" t="str">
        <x:v>andre.dedding@gmail.com</x:v>
      </x:c>
      <x:c r="G876" s="39" t="n">
        <x:v>46213</x:v>
      </x:c>
      <x:c r="H876" s="16" t="str">
        <x:v>07/2026</x:v>
      </x:c>
      <x:c r="I876" s="40" t="n">
        <x:v>1274.92</x:v>
      </x:c>
      <x:c r="J876" s="40" t="n">
        <x:v>1317.66</x:v>
      </x:c>
      <x:c r="K876" s="16" t="str">
        <x:v>Novo</x:v>
      </x:c>
      <x:c r="L876" s="16" t="str">
        <x:v>Em aberto</x:v>
      </x:c>
      <x:c r="M876" s="16" t="str">
        <x:v>f93cd49a-fc75-40ff-9fc0-18d27d5b875b</x:v>
      </x:c>
      <x:c r="N876" s="41" t="str"/>
    </x:row>
    <x:row r="877">
      <x:c r="A877" s="37" t="str">
        <x:f>"000044"</x:f>
        <x:v>000044</x:v>
      </x:c>
      <x:c r="B877" s="38" t="str">
        <x:f>"2"</x:f>
        <x:v>2</x:v>
      </x:c>
      <x:c r="C877" s="38" t="str">
        <x:v>RENAN SANTOS SILVA</x:v>
      </x:c>
      <x:c r="D877" s="38" t="str">
        <x:f>"32615962876"</x:f>
        <x:v>32615962876</x:v>
      </x:c>
      <x:c r="E877" s="38" t="str">
        <x:f>"1198942155411991011074"</x:f>
        <x:v>1198942155411991011074</x:v>
      </x:c>
      <x:c r="F877" s="38" t="str">
        <x:v>renan_ssilva84@hotmail.com</x:v>
      </x:c>
      <x:c r="G877" s="39" t="n">
        <x:v>46152</x:v>
      </x:c>
      <x:c r="H877" s="16" t="str">
        <x:v>05/2026</x:v>
      </x:c>
      <x:c r="I877" s="40" t="n">
        <x:v>1653.37</x:v>
      </x:c>
      <x:c r="J877" s="40" t="n">
        <x:v>1761.08</x:v>
      </x:c>
      <x:c r="K877" s="16" t="str">
        <x:v>Novo</x:v>
      </x:c>
      <x:c r="L877" s="16" t="str">
        <x:v>Em aberto</x:v>
      </x:c>
      <x:c r="M877" s="16" t="str">
        <x:v>3baf76f4-907e-4ab6-b16a-1c301f232fbc</x:v>
      </x:c>
      <x:c r="N877" s="41" t="str"/>
    </x:row>
    <x:row r="878">
      <x:c r="A878" s="37" t="str">
        <x:f>"000074"</x:f>
        <x:v>000074</x:v>
      </x:c>
      <x:c r="B878" s="38" t="str">
        <x:f>"2"</x:f>
        <x:v>2</x:v>
      </x:c>
      <x:c r="C878" s="38" t="str">
        <x:v>CLAUDIA VILELA</x:v>
      </x:c>
      <x:c r="D878" s="38" t="str">
        <x:f>"31120178894"</x:f>
        <x:v>31120178894</x:v>
      </x:c>
      <x:c r="E878" s="38" t="str">
        <x:f>""</x:f>
      </x:c>
      <x:c r="F878" s="38" t="str">
        <x:v>clauvilela2@hotmail.com</x:v>
      </x:c>
      <x:c r="G878" s="39" t="n">
        <x:v>46091</x:v>
      </x:c>
      <x:c r="H878" s="16" t="str">
        <x:v>03/2026</x:v>
      </x:c>
      <x:c r="I878" s="40" t="n">
        <x:v>459.29</x:v>
      </x:c>
      <x:c r="J878" s="40" t="n">
        <x:v>505.49</x:v>
      </x:c>
      <x:c r="K878" s="16" t="str">
        <x:v>Novo</x:v>
      </x:c>
      <x:c r="L878" s="16" t="str">
        <x:v>Em aberto</x:v>
      </x:c>
      <x:c r="M878" s="16" t="str">
        <x:v>638292b8-b6c2-437e-8632-8f8c287f1cec</x:v>
      </x:c>
      <x:c r="N878" s="41" t="str"/>
    </x:row>
    <x:row r="879">
      <x:c r="A879" s="37" t="str">
        <x:f>"000074"</x:f>
        <x:v>000074</x:v>
      </x:c>
      <x:c r="B879" s="38" t="str">
        <x:f>"2"</x:f>
        <x:v>2</x:v>
      </x:c>
      <x:c r="C879" s="38" t="str">
        <x:v>CLAUDIA VILELA</x:v>
      </x:c>
      <x:c r="D879" s="38" t="str">
        <x:f>"31120178894"</x:f>
        <x:v>31120178894</x:v>
      </x:c>
      <x:c r="E879" s="38" t="str">
        <x:f>""</x:f>
      </x:c>
      <x:c r="F879" s="38" t="str">
        <x:v>clauvilela2@hotmail.com</x:v>
      </x:c>
      <x:c r="G879" s="39" t="n">
        <x:v>46122</x:v>
      </x:c>
      <x:c r="H879" s="16" t="str">
        <x:v>04/2026</x:v>
      </x:c>
      <x:c r="I879" s="40" t="n">
        <x:v>1630.15</x:v>
      </x:c>
      <x:c r="J879" s="40" t="n">
        <x:v>1768.74</x:v>
      </x:c>
      <x:c r="K879" s="16" t="str">
        <x:v>Novo</x:v>
      </x:c>
      <x:c r="L879" s="16" t="str">
        <x:v>Em aberto</x:v>
      </x:c>
      <x:c r="M879" s="16" t="str">
        <x:v>d433a088-0a03-47a6-afee-fc3680b4dcd1</x:v>
      </x:c>
      <x:c r="N879" s="41" t="str"/>
    </x:row>
    <x:row r="880">
      <x:c r="A880" s="37" t="str">
        <x:f>"000074"</x:f>
        <x:v>000074</x:v>
      </x:c>
      <x:c r="B880" s="38" t="str">
        <x:f>"2"</x:f>
        <x:v>2</x:v>
      </x:c>
      <x:c r="C880" s="38" t="str">
        <x:v>CLAUDIA VILELA</x:v>
      </x:c>
      <x:c r="D880" s="38" t="str">
        <x:f>"31120178894"</x:f>
        <x:v>31120178894</x:v>
      </x:c>
      <x:c r="E880" s="38" t="str">
        <x:f>""</x:f>
      </x:c>
      <x:c r="F880" s="38" t="str">
        <x:v>clauvilela2@hotmail.com</x:v>
      </x:c>
      <x:c r="G880" s="39" t="n">
        <x:v>46152</x:v>
      </x:c>
      <x:c r="H880" s="16" t="str">
        <x:v>05/2026</x:v>
      </x:c>
      <x:c r="I880" s="40" t="n">
        <x:v>1386.23</x:v>
      </x:c>
      <x:c r="J880" s="40" t="n">
        <x:v>1476.53</x:v>
      </x:c>
      <x:c r="K880" s="16" t="str">
        <x:v>Novo</x:v>
      </x:c>
      <x:c r="L880" s="16" t="str">
        <x:v>Em aberto</x:v>
      </x:c>
      <x:c r="M880" s="16" t="str">
        <x:v>179b28ce-0647-4bc1-8244-91ef5e63287c</x:v>
      </x:c>
      <x:c r="N880" s="41" t="str"/>
    </x:row>
    <x:row r="881">
      <x:c r="A881" s="37" t="str">
        <x:f>"000122"</x:f>
        <x:v>000122</x:v>
      </x:c>
      <x:c r="B881" s="38" t="str">
        <x:f>"1"</x:f>
        <x:v>1</x:v>
      </x:c>
      <x:c r="C881" s="38" t="str">
        <x:v>LIVIA TONI KICHE</x:v>
      </x:c>
      <x:c r="D881" s="38" t="str">
        <x:f>"33372496809"</x:f>
        <x:v>33372496809</x:v>
      </x:c>
      <x:c r="E881" s="38" t="str">
        <x:f>""</x:f>
      </x:c>
      <x:c r="F881" s="38" t="str">
        <x:v>livia.tk@hotmail.com</x:v>
      </x:c>
      <x:c r="G881" s="39" t="n">
        <x:v>46213</x:v>
      </x:c>
      <x:c r="H881" s="16" t="str">
        <x:v>07/2026</x:v>
      </x:c>
      <x:c r="I881" s="40" t="n">
        <x:v>1028.78</x:v>
      </x:c>
      <x:c r="J881" s="40" t="n">
        <x:v>1063.27</x:v>
      </x:c>
      <x:c r="K881" s="16" t="str">
        <x:v>Novo</x:v>
      </x:c>
      <x:c r="L881" s="16" t="str">
        <x:v>Em aberto</x:v>
      </x:c>
      <x:c r="M881" s="16" t="str">
        <x:v>fcf831ed-ba98-4f98-80d0-9b6d327549b3</x:v>
      </x:c>
      <x:c r="N881" s="41" t="str"/>
    </x:row>
    <x:row r="882">
      <x:c r="A882" s="37" t="str">
        <x:f>"000154"</x:f>
        <x:v>000154</x:v>
      </x:c>
      <x:c r="B882" s="38" t="str">
        <x:f>"2"</x:f>
        <x:v>2</x:v>
      </x:c>
      <x:c r="C882" s="38" t="str">
        <x:v>ADRIANO FONTES DE ALMEIDA/GISELE F.</x:v>
      </x:c>
      <x:c r="D882" s="38" t="str">
        <x:f>"33464840840"</x:f>
        <x:v>33464840840</x:v>
      </x:c>
      <x:c r="E882" s="38" t="str">
        <x:f>"11937672525"</x:f>
        <x:v>11937672525</x:v>
      </x:c>
      <x:c r="F882" s="38" t="str">
        <x:v>adrianofalmeida@icloud.com</x:v>
      </x:c>
      <x:c r="G882" s="39" t="n">
        <x:v>46034</x:v>
      </x:c>
      <x:c r="H882" s="16" t="str">
        <x:v>01/2026</x:v>
      </x:c>
      <x:c r="I882" s="40" t="n">
        <x:v>1732.02</x:v>
      </x:c>
      <x:c r="J882" s="40" t="n">
        <x:v>1960.78</x:v>
      </x:c>
      <x:c r="K882" s="16" t="str">
        <x:v>Novo</x:v>
      </x:c>
      <x:c r="L882" s="16" t="str">
        <x:v>Em aberto</x:v>
      </x:c>
      <x:c r="M882" s="16" t="str">
        <x:v>fb03e3e4-2f23-4b1e-bb98-6e980dc8d8e2</x:v>
      </x:c>
      <x:c r="N882" s="41" t="str"/>
    </x:row>
    <x:row r="883">
      <x:c r="A883" s="37" t="str">
        <x:f>"000154"</x:f>
        <x:v>000154</x:v>
      </x:c>
      <x:c r="B883" s="38" t="str">
        <x:f>"2"</x:f>
        <x:v>2</x:v>
      </x:c>
      <x:c r="C883" s="38" t="str">
        <x:v>ADRIANO FONTES DE ALMEIDA/GISELE F.</x:v>
      </x:c>
      <x:c r="D883" s="38" t="str">
        <x:f>"33464840840"</x:f>
        <x:v>33464840840</x:v>
      </x:c>
      <x:c r="E883" s="38" t="str">
        <x:f>"11937672525"</x:f>
        <x:v>11937672525</x:v>
      </x:c>
      <x:c r="F883" s="38" t="str">
        <x:v>adrianofalmeida@icloud.com</x:v>
      </x:c>
      <x:c r="G883" s="39" t="n">
        <x:v>46091</x:v>
      </x:c>
      <x:c r="H883" s="16" t="str">
        <x:v>03/2026</x:v>
      </x:c>
      <x:c r="I883" s="40" t="n">
        <x:v>1662.28</x:v>
      </x:c>
      <x:c r="J883" s="40" t="n">
        <x:v>1829.46</x:v>
      </x:c>
      <x:c r="K883" s="16" t="str">
        <x:v>Novo</x:v>
      </x:c>
      <x:c r="L883" s="16" t="str">
        <x:v>Em aberto</x:v>
      </x:c>
      <x:c r="M883" s="16" t="str">
        <x:v>ebab5472-430b-4c81-b13d-b9ae6345e330</x:v>
      </x:c>
      <x:c r="N883" s="41" t="str"/>
    </x:row>
    <x:row r="884">
      <x:c r="A884" s="37" t="str">
        <x:f>"000154"</x:f>
        <x:v>000154</x:v>
      </x:c>
      <x:c r="B884" s="38" t="str">
        <x:f>"2"</x:f>
        <x:v>2</x:v>
      </x:c>
      <x:c r="C884" s="38" t="str">
        <x:v>ADRIANO FONTES DE ALMEIDA/GISELE F.</x:v>
      </x:c>
      <x:c r="D884" s="38" t="str">
        <x:f>"33464840840"</x:f>
        <x:v>33464840840</x:v>
      </x:c>
      <x:c r="E884" s="38" t="str">
        <x:f>"11937672525"</x:f>
        <x:v>11937672525</x:v>
      </x:c>
      <x:c r="F884" s="38" t="str">
        <x:v>adrianofalmeida@icloud.com</x:v>
      </x:c>
      <x:c r="G884" s="39" t="n">
        <x:v>46122</x:v>
      </x:c>
      <x:c r="H884" s="16" t="str">
        <x:v>04/2026</x:v>
      </x:c>
      <x:c r="I884" s="40" t="n">
        <x:v>1436.13</x:v>
      </x:c>
      <x:c r="J884" s="40" t="n">
        <x:v>1558.23</x:v>
      </x:c>
      <x:c r="K884" s="16" t="str">
        <x:v>Novo</x:v>
      </x:c>
      <x:c r="L884" s="16" t="str">
        <x:v>Em aberto</x:v>
      </x:c>
      <x:c r="M884" s="16" t="str">
        <x:v>5a51fcfb-5c4b-4b83-86a4-b4f05d1f12fe</x:v>
      </x:c>
      <x:c r="N884" s="41" t="str"/>
    </x:row>
    <x:row r="885">
      <x:c r="A885" s="37" t="str">
        <x:f>"000154"</x:f>
        <x:v>000154</x:v>
      </x:c>
      <x:c r="B885" s="38" t="str">
        <x:f>"2"</x:f>
        <x:v>2</x:v>
      </x:c>
      <x:c r="C885" s="38" t="str">
        <x:v>ADRIANO FONTES DE ALMEIDA/GISELE F.</x:v>
      </x:c>
      <x:c r="D885" s="38" t="str">
        <x:f>"33464840840"</x:f>
        <x:v>33464840840</x:v>
      </x:c>
      <x:c r="E885" s="38" t="str">
        <x:f>"11937672525"</x:f>
        <x:v>11937672525</x:v>
      </x:c>
      <x:c r="F885" s="38" t="str">
        <x:v>adrianofalmeida@icloud.com</x:v>
      </x:c>
      <x:c r="G885" s="39" t="n">
        <x:v>46152</x:v>
      </x:c>
      <x:c r="H885" s="16" t="str">
        <x:v>05/2026</x:v>
      </x:c>
      <x:c r="I885" s="40" t="n">
        <x:v>1314.16</x:v>
      </x:c>
      <x:c r="J885" s="40" t="n">
        <x:v>1399.76</x:v>
      </x:c>
      <x:c r="K885" s="16" t="str">
        <x:v>Novo</x:v>
      </x:c>
      <x:c r="L885" s="16" t="str">
        <x:v>Em aberto</x:v>
      </x:c>
      <x:c r="M885" s="16" t="str">
        <x:v>5ec7b2d6-726b-470d-bc28-98f15f8e6f9f</x:v>
      </x:c>
      <x:c r="N885" s="41" t="str"/>
    </x:row>
    <x:row r="886">
      <x:c r="A886" s="37" t="str">
        <x:f>"000154"</x:f>
        <x:v>000154</x:v>
      </x:c>
      <x:c r="B886" s="38" t="str">
        <x:f>"2"</x:f>
        <x:v>2</x:v>
      </x:c>
      <x:c r="C886" s="38" t="str">
        <x:v>ADRIANO FONTES DE ALMEIDA/GISELE F.</x:v>
      </x:c>
      <x:c r="D886" s="38" t="str">
        <x:f>"33464840840"</x:f>
        <x:v>33464840840</x:v>
      </x:c>
      <x:c r="E886" s="38" t="str">
        <x:f>"11937672525"</x:f>
        <x:v>11937672525</x:v>
      </x:c>
      <x:c r="F886" s="38" t="str">
        <x:v>adrianofalmeida@icloud.com</x:v>
      </x:c>
      <x:c r="G886" s="39" t="n">
        <x:v>46183</x:v>
      </x:c>
      <x:c r="H886" s="16" t="str">
        <x:v>06/2026</x:v>
      </x:c>
      <x:c r="I886" s="40" t="n">
        <x:v>1440.42</x:v>
      </x:c>
      <x:c r="J886" s="40" t="n">
        <x:v>1509.57</x:v>
      </x:c>
      <x:c r="K886" s="16" t="str">
        <x:v>Novo</x:v>
      </x:c>
      <x:c r="L886" s="16" t="str">
        <x:v>Em aberto</x:v>
      </x:c>
      <x:c r="M886" s="16" t="str">
        <x:v>33ef1df6-bdbe-4677-85c4-48930d2fa8db</x:v>
      </x:c>
      <x:c r="N886" s="41" t="str"/>
    </x:row>
    <x:row r="887">
      <x:c r="A887" s="42" t="str">
        <x:f>"000154"</x:f>
        <x:v>000154</x:v>
      </x:c>
      <x:c r="B887" s="43" t="str">
        <x:f>"2"</x:f>
        <x:v>2</x:v>
      </x:c>
      <x:c r="C887" s="43" t="str">
        <x:v>ADRIANO FONTES DE ALMEIDA/GISELE F.</x:v>
      </x:c>
      <x:c r="D887" s="43" t="str">
        <x:f>"33464840840"</x:f>
        <x:v>33464840840</x:v>
      </x:c>
      <x:c r="E887" s="43" t="str">
        <x:f>"11937672525"</x:f>
        <x:v>11937672525</x:v>
      </x:c>
      <x:c r="F887" s="43" t="str">
        <x:v>adrianofalmeida@icloud.com</x:v>
      </x:c>
      <x:c r="G887" s="44" t="n">
        <x:v>46213</x:v>
      </x:c>
      <x:c r="H887" s="20" t="str">
        <x:v>07/2026</x:v>
      </x:c>
      <x:c r="I887" s="45" t="n">
        <x:v>1709.2</x:v>
      </x:c>
      <x:c r="J887" s="45" t="n">
        <x:v>1766.5</x:v>
      </x:c>
      <x:c r="K887" s="20" t="str">
        <x:v>Novo</x:v>
      </x:c>
      <x:c r="L887" s="20" t="str">
        <x:v>Em aberto</x:v>
      </x:c>
      <x:c r="M887" s="20" t="str">
        <x:v>d0128340-0362-4e79-aff3-1931947d2937</x:v>
      </x:c>
      <x:c r="N887" s="46" t="str"/>
    </x:row>
    <x:row r="888">
      <x:c r="A888" s="47" t="str">
        <x:v>Subtotal</x:v>
      </x:c>
      <x:c r="B888" s="47" t="str"/>
      <x:c r="C888" s="47" t="str"/>
      <x:c r="D888" s="47" t="str"/>
      <x:c r="E888" s="47" t="str"/>
      <x:c r="F888" s="47" t="str"/>
      <x:c r="G888" s="47" t="str"/>
      <x:c r="H888" s="47" t="str"/>
      <x:c r="I888" s="47" t="str"/>
      <x:c r="J888" s="48" t="n">
        <x:v>19147.23</x:v>
      </x:c>
      <x:c r="K888" s="47" t="str">
        <x:v>13 novas</x:v>
      </x:c>
      <x:c r="L888" s="47" t="str">
        <x:v>0 ativas</x:v>
      </x:c>
      <x:c r="M888" s="47" t="str"/>
      <x:c r="N888" s="47" t="str"/>
    </x:row>
    <x:row r="890">
      <x:c r="A890" s="26" t="str">
        <x:v>CONDOMÍNIO SQUARE GUARULHOS</x:v>
      </x:c>
      <x:c r="B890" s="26"/>
      <x:c r="C890" s="26"/>
      <x:c r="D890" s="26"/>
      <x:c r="E890" s="26"/>
      <x:c r="F890" s="26"/>
      <x:c r="G890" s="26"/>
      <x:c r="H890" s="26"/>
      <x:c r="I890" s="26"/>
      <x:c r="J890" s="26"/>
      <x:c r="K890" s="26"/>
      <x:c r="L890" s="26"/>
      <x:c r="M890" s="26"/>
      <x:c r="N890" s="26"/>
    </x:row>
    <x:row r="891">
      <x:c r="A891" s="28" t="str">
        <x:v>CNPJ</x:v>
      </x:c>
      <x:c r="B891" s="28" t="str">
        <x:v>14.234.598/0001-98</x:v>
      </x:c>
      <x:c r="C891" s="28"/>
      <x:c r="D891" s="28" t="str">
        <x:v>Dia de vencimento</x:v>
      </x:c>
      <x:c r="E891" s="28" t="n">
        <x:v>8</x:v>
      </x:c>
      <x:c r="F891" s="28" t="str">
        <x:v>Régua</x:v>
      </x:c>
      <x:c r="G891" s="28" t="str">
        <x:v>D+30 · pré-jurídico em D+60</x:v>
      </x:c>
      <x:c r="H891" s="28"/>
      <x:c r="I891" s="28"/>
      <x:c r="J891" s="28"/>
      <x:c r="K891" s="28"/>
      <x:c r="L891" s="28"/>
      <x:c r="M891" s="28"/>
      <x:c r="N891" s="28"/>
    </x:row>
    <x:row r="892">
      <x:c r="A892" s="9" t="str">
        <x:v>Unidade</x:v>
      </x:c>
      <x:c r="B892" s="9" t="str">
        <x:v>Bloco</x:v>
      </x:c>
      <x:c r="C892" s="9" t="str">
        <x:v>Responsável</x:v>
      </x:c>
      <x:c r="D892" s="9" t="str">
        <x:v>Documento</x:v>
      </x:c>
      <x:c r="E892" s="9" t="str">
        <x:v>Telefone</x:v>
      </x:c>
      <x:c r="F892" s="9" t="str">
        <x:v>E-mail</x:v>
      </x:c>
      <x:c r="G892" s="9" t="str">
        <x:v>Vencimento</x:v>
      </x:c>
      <x:c r="H892" s="9" t="str">
        <x:v>Competência</x:v>
      </x:c>
      <x:c r="I892" s="9" t="str">
        <x:v>Valor original</x:v>
      </x:c>
      <x:c r="J892" s="9" t="str">
        <x:v>Valor atualizado</x:v>
      </x:c>
      <x:c r="K892" s="9" t="str">
        <x:v>Status operacional</x:v>
      </x:c>
      <x:c r="L892" s="9" t="str">
        <x:v>Status financeiro</x:v>
      </x:c>
      <x:c r="M892" s="9" t="str">
        <x:v>ID cobrança</x:v>
      </x:c>
      <x:c r="N892" s="9" t="str">
        <x:v>Observação</x:v>
      </x:c>
    </x:row>
    <x:row r="893">
      <x:c r="A893" s="31" t="str">
        <x:f>"000073"</x:f>
        <x:v>000073</x:v>
      </x:c>
      <x:c r="B893" s="32" t="str">
        <x:f>""</x:f>
      </x:c>
      <x:c r="C893" s="32" t="str"/>
      <x:c r="D893" s="32" t="str">
        <x:f>""</x:f>
      </x:c>
      <x:c r="E893" s="32" t="str">
        <x:f>""</x:f>
      </x:c>
      <x:c r="F893" s="32" t="str"/>
      <x:c r="G893" s="33" t="n">
        <x:v>46211</x:v>
      </x:c>
      <x:c r="H893" s="34" t="str">
        <x:v>07/2026</x:v>
      </x:c>
      <x:c r="I893" s="35" t="n">
        <x:v>3365.42</x:v>
      </x:c>
      <x:c r="J893" s="35" t="n">
        <x:v>3365.42</x:v>
      </x:c>
      <x:c r="K893" s="34" t="str">
        <x:v>Novo</x:v>
      </x:c>
      <x:c r="L893" s="34" t="str">
        <x:v>Em aberto</x:v>
      </x:c>
      <x:c r="M893" s="34" t="str">
        <x:v>748eec28-5c2c-4dd0-99b3-a0bd9b638c87</x:v>
      </x:c>
      <x:c r="N893" s="36" t="str"/>
    </x:row>
    <x:row r="894">
      <x:c r="A894" s="37" t="str">
        <x:f>"000094"</x:f>
        <x:v>000094</x:v>
      </x:c>
      <x:c r="B894" s="38" t="str">
        <x:f>""</x:f>
      </x:c>
      <x:c r="C894" s="38" t="str"/>
      <x:c r="D894" s="38" t="str">
        <x:f>""</x:f>
      </x:c>
      <x:c r="E894" s="38" t="str">
        <x:f>""</x:f>
      </x:c>
      <x:c r="F894" s="38" t="str"/>
      <x:c r="G894" s="39" t="n">
        <x:v>46150</x:v>
      </x:c>
      <x:c r="H894" s="16" t="str">
        <x:v>05/2026</x:v>
      </x:c>
      <x:c r="I894" s="40" t="n">
        <x:v>3945.4</x:v>
      </x:c>
      <x:c r="J894" s="40" t="n">
        <x:v>3945.4</x:v>
      </x:c>
      <x:c r="K894" s="16" t="str">
        <x:v>Novo</x:v>
      </x:c>
      <x:c r="L894" s="16" t="str">
        <x:v>Em aberto</x:v>
      </x:c>
      <x:c r="M894" s="16" t="str">
        <x:v>2a7520fe-2fbd-4cbf-8404-b8687b61b36a</x:v>
      </x:c>
      <x:c r="N894" s="41" t="str"/>
    </x:row>
    <x:row r="895">
      <x:c r="A895" s="37" t="str">
        <x:f>"000101"</x:f>
        <x:v>000101</x:v>
      </x:c>
      <x:c r="B895" s="38" t="str">
        <x:f>""</x:f>
      </x:c>
      <x:c r="C895" s="38" t="str"/>
      <x:c r="D895" s="38" t="str">
        <x:f>""</x:f>
      </x:c>
      <x:c r="E895" s="38" t="str">
        <x:f>""</x:f>
      </x:c>
      <x:c r="F895" s="38" t="str"/>
      <x:c r="G895" s="39" t="n">
        <x:v>46216</x:v>
      </x:c>
      <x:c r="H895" s="16" t="str">
        <x:v>07/2026</x:v>
      </x:c>
      <x:c r="I895" s="40" t="n">
        <x:v>2357.28</x:v>
      </x:c>
      <x:c r="J895" s="40" t="n">
        <x:v>2357.28</x:v>
      </x:c>
      <x:c r="K895" s="16" t="str">
        <x:v>Novo</x:v>
      </x:c>
      <x:c r="L895" s="16" t="str">
        <x:v>Em aberto</x:v>
      </x:c>
      <x:c r="M895" s="16" t="str">
        <x:v>8f18355e-b7f0-4e33-968a-3b6f49b415ed</x:v>
      </x:c>
      <x:c r="N895" s="41" t="str"/>
    </x:row>
    <x:row r="896">
      <x:c r="A896" s="42" t="str">
        <x:f>"000183"</x:f>
        <x:v>000183</x:v>
      </x:c>
      <x:c r="B896" s="43" t="str">
        <x:f>""</x:f>
      </x:c>
      <x:c r="C896" s="43" t="str"/>
      <x:c r="D896" s="43" t="str">
        <x:f>""</x:f>
      </x:c>
      <x:c r="E896" s="43" t="str">
        <x:f>""</x:f>
      </x:c>
      <x:c r="F896" s="43" t="str"/>
      <x:c r="G896" s="44" t="n">
        <x:v>46181</x:v>
      </x:c>
      <x:c r="H896" s="20" t="str">
        <x:v>06/2026</x:v>
      </x:c>
      <x:c r="I896" s="45" t="n">
        <x:v>1625.51</x:v>
      </x:c>
      <x:c r="J896" s="45" t="n">
        <x:v>1625.51</x:v>
      </x:c>
      <x:c r="K896" s="20" t="str">
        <x:v>Novo</x:v>
      </x:c>
      <x:c r="L896" s="20" t="str">
        <x:v>Em aberto</x:v>
      </x:c>
      <x:c r="M896" s="20" t="str">
        <x:v>e4690ad5-9b0e-4794-98eb-85951ef59a93</x:v>
      </x:c>
      <x:c r="N896" s="46" t="str"/>
    </x:row>
    <x:row r="897">
      <x:c r="A897" s="47" t="str">
        <x:v>Subtotal</x:v>
      </x:c>
      <x:c r="B897" s="47" t="str"/>
      <x:c r="C897" s="47" t="str"/>
      <x:c r="D897" s="47" t="str"/>
      <x:c r="E897" s="47" t="str"/>
      <x:c r="F897" s="47" t="str"/>
      <x:c r="G897" s="47" t="str"/>
      <x:c r="H897" s="47" t="str"/>
      <x:c r="I897" s="47" t="str"/>
      <x:c r="J897" s="48" t="n">
        <x:v>11293.61</x:v>
      </x:c>
      <x:c r="K897" s="47" t="str">
        <x:v>4 novas</x:v>
      </x:c>
      <x:c r="L897" s="47" t="str">
        <x:v>0 ativas</x:v>
      </x:c>
      <x:c r="M897" s="47" t="str"/>
      <x:c r="N897" s="47" t="str"/>
    </x:row>
    <x:row r="899">
      <x:c r="A899" s="26" t="str">
        <x:v>CONDOMINIO VIEW BUTANTÃ</x:v>
      </x:c>
      <x:c r="B899" s="26"/>
      <x:c r="C899" s="26"/>
      <x:c r="D899" s="26"/>
      <x:c r="E899" s="26"/>
      <x:c r="F899" s="26"/>
      <x:c r="G899" s="26"/>
      <x:c r="H899" s="26"/>
      <x:c r="I899" s="26"/>
      <x:c r="J899" s="26"/>
      <x:c r="K899" s="26"/>
      <x:c r="L899" s="26"/>
      <x:c r="M899" s="26"/>
      <x:c r="N899" s="26"/>
    </x:row>
    <x:row r="900">
      <x:c r="A900" s="28" t="str">
        <x:v>CNPJ</x:v>
      </x:c>
      <x:c r="B900" s="28" t="str">
        <x:v>51.776.364/0001-07</x:v>
      </x:c>
      <x:c r="C900" s="28"/>
      <x:c r="D900" s="28" t="str">
        <x:v>Dia de vencimento</x:v>
      </x:c>
      <x:c r="E900" s="28" t="n">
        <x:v>10</x:v>
      </x:c>
      <x:c r="F900" s="28" t="str">
        <x:v>Régua</x:v>
      </x:c>
      <x:c r="G900" s="28" t="str">
        <x:v>D+60 · pré-jurídico em D+90</x:v>
      </x:c>
      <x:c r="H900" s="28"/>
      <x:c r="I900" s="28"/>
      <x:c r="J900" s="28"/>
      <x:c r="K900" s="28"/>
      <x:c r="L900" s="28"/>
      <x:c r="M900" s="28"/>
      <x:c r="N900" s="28"/>
    </x:row>
    <x:row r="901">
      <x:c r="A901" s="9" t="str">
        <x:v>Unidade</x:v>
      </x:c>
      <x:c r="B901" s="9" t="str">
        <x:v>Bloco</x:v>
      </x:c>
      <x:c r="C901" s="9" t="str">
        <x:v>Responsável</x:v>
      </x:c>
      <x:c r="D901" s="9" t="str">
        <x:v>Documento</x:v>
      </x:c>
      <x:c r="E901" s="9" t="str">
        <x:v>Telefone</x:v>
      </x:c>
      <x:c r="F901" s="9" t="str">
        <x:v>E-mail</x:v>
      </x:c>
      <x:c r="G901" s="9" t="str">
        <x:v>Vencimento</x:v>
      </x:c>
      <x:c r="H901" s="9" t="str">
        <x:v>Competência</x:v>
      </x:c>
      <x:c r="I901" s="9" t="str">
        <x:v>Valor original</x:v>
      </x:c>
      <x:c r="J901" s="9" t="str">
        <x:v>Valor atualizado</x:v>
      </x:c>
      <x:c r="K901" s="9" t="str">
        <x:v>Status operacional</x:v>
      </x:c>
      <x:c r="L901" s="9" t="str">
        <x:v>Status financeiro</x:v>
      </x:c>
      <x:c r="M901" s="9" t="str">
        <x:v>ID cobrança</x:v>
      </x:c>
      <x:c r="N901" s="9" t="str">
        <x:v>Observação</x:v>
      </x:c>
    </x:row>
    <x:row r="902">
      <x:c r="A902" s="31" t="str">
        <x:f>"000001"</x:f>
        <x:v>000001</x:v>
      </x:c>
      <x:c r="B902" s="32" t="str">
        <x:f>"B"</x:f>
        <x:v>B</x:v>
      </x:c>
      <x:c r="C902" s="32" t="str">
        <x:v>NEUMA FERRAZ DE OLIVEIRA BRITO</x:v>
      </x:c>
      <x:c r="D902" s="32" t="str">
        <x:f>""</x:f>
      </x:c>
      <x:c r="E902" s="32" t="str">
        <x:f>""</x:f>
      </x:c>
      <x:c r="F902" s="32" t="str"/>
      <x:c r="G902" s="33" t="n">
        <x:v>46032</x:v>
      </x:c>
      <x:c r="H902" s="34" t="str">
        <x:v>01/2026</x:v>
      </x:c>
      <x:c r="I902" s="35" t="n">
        <x:v>113.17</x:v>
      </x:c>
      <x:c r="J902" s="35" t="n">
        <x:v>127.86</x:v>
      </x:c>
      <x:c r="K902" s="34" t="str">
        <x:v>Novo</x:v>
      </x:c>
      <x:c r="L902" s="34" t="str">
        <x:v>Em aberto</x:v>
      </x:c>
      <x:c r="M902" s="34" t="str">
        <x:v>705642d1-bc9b-4d73-9b0b-7641a7e9add6</x:v>
      </x:c>
      <x:c r="N902" s="36" t="str"/>
    </x:row>
    <x:row r="903">
      <x:c r="A903" s="37" t="str">
        <x:f>"000703"</x:f>
        <x:v>000703</x:v>
      </x:c>
      <x:c r="B903" s="38" t="str">
        <x:f>"A"</x:f>
        <x:v>A</x:v>
      </x:c>
      <x:c r="C903" s="38" t="str">
        <x:v>MARCOS JANOVICTH NICOLI</x:v>
      </x:c>
      <x:c r="D903" s="38" t="str">
        <x:f>"12730445846"</x:f>
        <x:v>12730445846</x:v>
      </x:c>
      <x:c r="E903" s="38" t="str">
        <x:f>"011913468221"</x:f>
        <x:v>011913468221</x:v>
      </x:c>
      <x:c r="F903" s="38" t="str">
        <x:v>marcos.jnicoli@hotmail.com</x:v>
      </x:c>
      <x:c r="G903" s="39" t="n">
        <x:v>46152</x:v>
      </x:c>
      <x:c r="H903" s="16" t="str">
        <x:v>05/2026</x:v>
      </x:c>
      <x:c r="I903" s="40" t="n">
        <x:v>951.01</x:v>
      </x:c>
      <x:c r="J903" s="40" t="n">
        <x:v>1007.03</x:v>
      </x:c>
      <x:c r="K903" s="16" t="str">
        <x:v>Novo</x:v>
      </x:c>
      <x:c r="L903" s="16" t="str">
        <x:v>Em aberto</x:v>
      </x:c>
      <x:c r="M903" s="16" t="str">
        <x:v>9b0b28ae-a65e-456f-b777-41457acc28cf</x:v>
      </x:c>
      <x:c r="N903" s="41" t="str"/>
    </x:row>
    <x:row r="904">
      <x:c r="A904" s="37" t="str">
        <x:f>"000703"</x:f>
        <x:v>000703</x:v>
      </x:c>
      <x:c r="B904" s="38" t="str">
        <x:f>"A"</x:f>
        <x:v>A</x:v>
      </x:c>
      <x:c r="C904" s="38" t="str">
        <x:v>MARCOS JANOVICTH NICOLI</x:v>
      </x:c>
      <x:c r="D904" s="38" t="str">
        <x:f>"12730445846"</x:f>
        <x:v>12730445846</x:v>
      </x:c>
      <x:c r="E904" s="38" t="str">
        <x:f>"011913468221"</x:f>
        <x:v>011913468221</x:v>
      </x:c>
      <x:c r="F904" s="38" t="str">
        <x:v>marcos.jnicoli@hotmail.com</x:v>
      </x:c>
      <x:c r="G904" s="39" t="n">
        <x:v>46183</x:v>
      </x:c>
      <x:c r="H904" s="16" t="str">
        <x:v>06/2026</x:v>
      </x:c>
      <x:c r="I904" s="40" t="n">
        <x:v>938.03</x:v>
      </x:c>
      <x:c r="J904" s="40" t="n">
        <x:v>977.28</x:v>
      </x:c>
      <x:c r="K904" s="16" t="str">
        <x:v>Novo</x:v>
      </x:c>
      <x:c r="L904" s="16" t="str">
        <x:v>Em aberto</x:v>
      </x:c>
      <x:c r="M904" s="16" t="str">
        <x:v>eef4089c-aca7-4147-984b-9c113742693e</x:v>
      </x:c>
      <x:c r="N904" s="41" t="str"/>
    </x:row>
    <x:row r="905">
      <x:c r="A905" s="37" t="str">
        <x:f>"000707"</x:f>
        <x:v>000707</x:v>
      </x:c>
      <x:c r="B905" s="38" t="str">
        <x:f>"A"</x:f>
        <x:v>A</x:v>
      </x:c>
      <x:c r="C905" s="38" t="str">
        <x:v>CAROLINA JACOME COSTA RAMOS</x:v>
      </x:c>
      <x:c r="D905" s="38" t="str">
        <x:f>"09975938655"</x:f>
        <x:v>09975938655</x:v>
      </x:c>
      <x:c r="E905" s="38" t="str">
        <x:f>""</x:f>
      </x:c>
      <x:c r="F905" s="38" t="str">
        <x:v>igorcaixetadiaspedrosa@gmail.com</x:v>
      </x:c>
      <x:c r="G905" s="39" t="n">
        <x:v>46183</x:v>
      </x:c>
      <x:c r="H905" s="16" t="str">
        <x:v>06/2026</x:v>
      </x:c>
      <x:c r="I905" s="40" t="n">
        <x:v>931.44</x:v>
      </x:c>
      <x:c r="J905" s="40" t="n">
        <x:v>970.41</x:v>
      </x:c>
      <x:c r="K905" s="16" t="str">
        <x:v>Novo</x:v>
      </x:c>
      <x:c r="L905" s="16" t="str">
        <x:v>Em aberto</x:v>
      </x:c>
      <x:c r="M905" s="16" t="str">
        <x:v>bebb9be0-7bf6-496d-bf5c-fd66656ba82f</x:v>
      </x:c>
      <x:c r="N905" s="41" t="str"/>
    </x:row>
    <x:row r="906">
      <x:c r="A906" s="37" t="str">
        <x:f>"000909"</x:f>
        <x:v>000909</x:v>
      </x:c>
      <x:c r="B906" s="38" t="str">
        <x:f>"A"</x:f>
        <x:v>A</x:v>
      </x:c>
      <x:c r="C906" s="38" t="str">
        <x:v>RODRIGO BARROS BARBOSA SANDOVAL</x:v>
      </x:c>
      <x:c r="D906" s="38" t="str">
        <x:f>"39721943827"</x:f>
        <x:v>39721943827</x:v>
      </x:c>
      <x:c r="E906" s="38" t="str">
        <x:f>"016994245286"</x:f>
        <x:v>016994245286</x:v>
      </x:c>
      <x:c r="F906" s="38" t="str">
        <x:v>rodrigo.b.sandoval@hotmail.com</x:v>
      </x:c>
      <x:c r="G906" s="39" t="n">
        <x:v>46091</x:v>
      </x:c>
      <x:c r="H906" s="16" t="str">
        <x:v>03/2026</x:v>
      </x:c>
      <x:c r="I906" s="40" t="n">
        <x:v>778.22</x:v>
      </x:c>
      <x:c r="J906" s="40" t="n">
        <x:v>854.58</x:v>
      </x:c>
      <x:c r="K906" s="16" t="str">
        <x:v>Novo</x:v>
      </x:c>
      <x:c r="L906" s="16" t="str">
        <x:v>Em aberto</x:v>
      </x:c>
      <x:c r="M906" s="16" t="str">
        <x:v>589f4a17-5194-4286-bdeb-52eba4d52e02</x:v>
      </x:c>
      <x:c r="N906" s="41" t="str"/>
    </x:row>
    <x:row r="907">
      <x:c r="A907" s="37" t="str">
        <x:f>"000909"</x:f>
        <x:v>000909</x:v>
      </x:c>
      <x:c r="B907" s="38" t="str">
        <x:f>"A"</x:f>
        <x:v>A</x:v>
      </x:c>
      <x:c r="C907" s="38" t="str">
        <x:v>RODRIGO BARROS BARBOSA SANDOVAL</x:v>
      </x:c>
      <x:c r="D907" s="38" t="str">
        <x:f>"39721943827"</x:f>
        <x:v>39721943827</x:v>
      </x:c>
      <x:c r="E907" s="38" t="str">
        <x:f>"016994245286"</x:f>
        <x:v>016994245286</x:v>
      </x:c>
      <x:c r="F907" s="38" t="str">
        <x:v>rodrigo.b.sandoval@hotmail.com</x:v>
      </x:c>
      <x:c r="G907" s="39" t="n">
        <x:v>46122</x:v>
      </x:c>
      <x:c r="H907" s="16" t="str">
        <x:v>04/2026</x:v>
      </x:c>
      <x:c r="I907" s="40" t="n">
        <x:v>788.98</x:v>
      </x:c>
      <x:c r="J907" s="40" t="n">
        <x:v>850.4</x:v>
      </x:c>
      <x:c r="K907" s="16" t="str">
        <x:v>Novo</x:v>
      </x:c>
      <x:c r="L907" s="16" t="str">
        <x:v>Em aberto</x:v>
      </x:c>
      <x:c r="M907" s="16" t="str">
        <x:v>a49d8db6-a942-4a2d-afb2-770552c2d5ec</x:v>
      </x:c>
      <x:c r="N907" s="41" t="str"/>
    </x:row>
    <x:row r="908">
      <x:c r="A908" s="37" t="str">
        <x:f>"000909"</x:f>
        <x:v>000909</x:v>
      </x:c>
      <x:c r="B908" s="38" t="str">
        <x:f>"A"</x:f>
        <x:v>A</x:v>
      </x:c>
      <x:c r="C908" s="38" t="str">
        <x:v>RODRIGO BARROS BARBOSA SANDOVAL</x:v>
      </x:c>
      <x:c r="D908" s="38" t="str">
        <x:f>"39721943827"</x:f>
        <x:v>39721943827</x:v>
      </x:c>
      <x:c r="E908" s="38" t="str">
        <x:f>"016994245286"</x:f>
        <x:v>016994245286</x:v>
      </x:c>
      <x:c r="F908" s="38" t="str">
        <x:v>rodrigo.b.sandoval@hotmail.com</x:v>
      </x:c>
      <x:c r="G908" s="39" t="n">
        <x:v>46183</x:v>
      </x:c>
      <x:c r="H908" s="16" t="str">
        <x:v>06/2026</x:v>
      </x:c>
      <x:c r="I908" s="40" t="n">
        <x:v>799.13</x:v>
      </x:c>
      <x:c r="J908" s="40" t="n">
        <x:v>832.57</x:v>
      </x:c>
      <x:c r="K908" s="16" t="str">
        <x:v>Novo</x:v>
      </x:c>
      <x:c r="L908" s="16" t="str">
        <x:v>Em aberto</x:v>
      </x:c>
      <x:c r="M908" s="16" t="str">
        <x:v>76737800-892e-4496-9a09-91b487743e0a</x:v>
      </x:c>
      <x:c r="N908" s="41" t="str"/>
    </x:row>
    <x:row r="909">
      <x:c r="A909" s="37" t="str">
        <x:f>"001003"</x:f>
        <x:v>001003</x:v>
      </x:c>
      <x:c r="B909" s="38" t="str">
        <x:f>"A"</x:f>
        <x:v>A</x:v>
      </x:c>
      <x:c r="C909" s="38" t="str">
        <x:v>FLAVIO FEITOSA PEREZ</x:v>
      </x:c>
      <x:c r="D909" s="38" t="str">
        <x:f>"00829482750"</x:f>
        <x:v>00829482750</x:v>
      </x:c>
      <x:c r="E909" s="38" t="str">
        <x:f>"011992574095"</x:f>
        <x:v>011992574095</x:v>
      </x:c>
      <x:c r="F909" s="38" t="str">
        <x:v>flaviofperez@gmail.com</x:v>
      </x:c>
      <x:c r="G909" s="39" t="n">
        <x:v>46183</x:v>
      </x:c>
      <x:c r="H909" s="16" t="str">
        <x:v>06/2026</x:v>
      </x:c>
      <x:c r="I909" s="40" t="n">
        <x:v>938.03</x:v>
      </x:c>
      <x:c r="J909" s="40" t="n">
        <x:v>977.28</x:v>
      </x:c>
      <x:c r="K909" s="16" t="str">
        <x:v>Novo</x:v>
      </x:c>
      <x:c r="L909" s="16" t="str">
        <x:v>Em aberto</x:v>
      </x:c>
      <x:c r="M909" s="16" t="str">
        <x:v>b67e2f76-4344-44bb-959d-30607fb780ae</x:v>
      </x:c>
      <x:c r="N909" s="41" t="str"/>
    </x:row>
    <x:row r="910">
      <x:c r="A910" s="37" t="str">
        <x:f>"001006"</x:f>
        <x:v>001006</x:v>
      </x:c>
      <x:c r="B910" s="38" t="str">
        <x:f>"A"</x:f>
        <x:v>A</x:v>
      </x:c>
      <x:c r="C910" s="38" t="str">
        <x:v>RAIANE FERREIRA CORREIA</x:v>
      </x:c>
      <x:c r="D910" s="38" t="str">
        <x:f>""</x:f>
      </x:c>
      <x:c r="E910" s="38" t="str">
        <x:f>""</x:f>
      </x:c>
      <x:c r="F910" s="38" t="str"/>
      <x:c r="G910" s="39" t="n">
        <x:v>46091</x:v>
      </x:c>
      <x:c r="H910" s="16" t="str">
        <x:v>03/2026</x:v>
      </x:c>
      <x:c r="I910" s="40" t="n">
        <x:v>853.29</x:v>
      </x:c>
      <x:c r="J910" s="40" t="n">
        <x:v>937.02</x:v>
      </x:c>
      <x:c r="K910" s="16" t="str">
        <x:v>Novo</x:v>
      </x:c>
      <x:c r="L910" s="16" t="str">
        <x:v>Em aberto</x:v>
      </x:c>
      <x:c r="M910" s="16" t="str">
        <x:v>43e8931c-81ae-482b-8bf8-a21bb2e515c3</x:v>
      </x:c>
      <x:c r="N910" s="41" t="str"/>
    </x:row>
    <x:row r="911">
      <x:c r="A911" s="37" t="str">
        <x:f>"001302"</x:f>
        <x:v>001302</x:v>
      </x:c>
      <x:c r="B911" s="38" t="str">
        <x:f>"A"</x:f>
        <x:v>A</x:v>
      </x:c>
      <x:c r="C911" s="38" t="str">
        <x:v>WALDIR SOBRINHO JUNIOR</x:v>
      </x:c>
      <x:c r="D911" s="38" t="str">
        <x:f>"42162501813"</x:f>
        <x:v>42162501813</x:v>
      </x:c>
      <x:c r="E911" s="38" t="str">
        <x:f>""</x:f>
      </x:c>
      <x:c r="F911" s="38" t="str">
        <x:v>waldir-sj@hotmail.com</x:v>
      </x:c>
      <x:c r="G911" s="39" t="n">
        <x:v>46183</x:v>
      </x:c>
      <x:c r="H911" s="16" t="str">
        <x:v>06/2026</x:v>
      </x:c>
      <x:c r="I911" s="40" t="n">
        <x:v>931.44</x:v>
      </x:c>
      <x:c r="J911" s="40" t="n">
        <x:v>970.41</x:v>
      </x:c>
      <x:c r="K911" s="16" t="str">
        <x:v>Novo</x:v>
      </x:c>
      <x:c r="L911" s="16" t="str">
        <x:v>Em aberto</x:v>
      </x:c>
      <x:c r="M911" s="16" t="str">
        <x:v>58322853-5795-44fd-9ce5-e0efe4d7d4ad</x:v>
      </x:c>
      <x:c r="N911" s="41" t="str"/>
    </x:row>
    <x:row r="912">
      <x:c r="A912" s="37" t="str">
        <x:f>"001405"</x:f>
        <x:v>001405</x:v>
      </x:c>
      <x:c r="B912" s="38" t="str">
        <x:f>"A"</x:f>
        <x:v>A</x:v>
      </x:c>
      <x:c r="C912" s="38" t="str">
        <x:v>MARGARETH DAS NEVES</x:v>
      </x:c>
      <x:c r="D912" s="38" t="str">
        <x:f>""</x:f>
      </x:c>
      <x:c r="E912" s="38" t="str">
        <x:f>""</x:f>
      </x:c>
      <x:c r="F912" s="38" t="str"/>
      <x:c r="G912" s="39" t="n">
        <x:v>46122</x:v>
      </x:c>
      <x:c r="H912" s="16" t="str">
        <x:v>04/2026</x:v>
      </x:c>
      <x:c r="I912" s="40" t="n">
        <x:v>865.08</x:v>
      </x:c>
      <x:c r="J912" s="40" t="n">
        <x:v>932.43</x:v>
      </x:c>
      <x:c r="K912" s="16" t="str">
        <x:v>Novo</x:v>
      </x:c>
      <x:c r="L912" s="16" t="str">
        <x:v>Em aberto</x:v>
      </x:c>
      <x:c r="M912" s="16" t="str">
        <x:v>fd4dbb66-51b3-4833-9c9d-f6b741a4c182</x:v>
      </x:c>
      <x:c r="N912" s="41" t="str"/>
    </x:row>
    <x:row r="913">
      <x:c r="A913" s="37" t="str">
        <x:f>"001408"</x:f>
        <x:v>001408</x:v>
      </x:c>
      <x:c r="B913" s="38" t="str">
        <x:f>"A"</x:f>
        <x:v>A</x:v>
      </x:c>
      <x:c r="C913" s="38" t="str">
        <x:v>GELMAR MARCELO PINTO FERNANDES</x:v>
      </x:c>
      <x:c r="D913" s="38" t="str">
        <x:f>"04253315631"</x:f>
        <x:v>04253315631</x:v>
      </x:c>
      <x:c r="E913" s="38" t="str">
        <x:f>""</x:f>
      </x:c>
      <x:c r="F913" s="38" t="str">
        <x:v>gelmarfernandes@gmail.com</x:v>
      </x:c>
      <x:c r="G913" s="39" t="n">
        <x:v>46063</x:v>
      </x:c>
      <x:c r="H913" s="16" t="str">
        <x:v>02/2026</x:v>
      </x:c>
      <x:c r="I913" s="40" t="n">
        <x:v>927.43</x:v>
      </x:c>
      <x:c r="J913" s="40" t="n">
        <x:v>1033.89</x:v>
      </x:c>
      <x:c r="K913" s="16" t="str">
        <x:v>Novo</x:v>
      </x:c>
      <x:c r="L913" s="16" t="str">
        <x:v>Em aberto</x:v>
      </x:c>
      <x:c r="M913" s="16" t="str">
        <x:v>a78eebff-f871-4ebf-9618-e6ee916b5bf0</x:v>
      </x:c>
      <x:c r="N913" s="41" t="str"/>
    </x:row>
    <x:row r="914">
      <x:c r="A914" s="37" t="str">
        <x:f>"001408"</x:f>
        <x:v>001408</x:v>
      </x:c>
      <x:c r="B914" s="38" t="str">
        <x:f>"A"</x:f>
        <x:v>A</x:v>
      </x:c>
      <x:c r="C914" s="38" t="str">
        <x:v>GELMAR MARCELO PINTO FERNANDES</x:v>
      </x:c>
      <x:c r="D914" s="38" t="str">
        <x:f>"04253315631"</x:f>
        <x:v>04253315631</x:v>
      </x:c>
      <x:c r="E914" s="38" t="str">
        <x:f>""</x:f>
      </x:c>
      <x:c r="F914" s="38" t="str">
        <x:v>gelmarfernandes@gmail.com</x:v>
      </x:c>
      <x:c r="G914" s="39" t="n">
        <x:v>46091</x:v>
      </x:c>
      <x:c r="H914" s="16" t="str">
        <x:v>03/2026</x:v>
      </x:c>
      <x:c r="I914" s="40" t="n">
        <x:v>913.5</x:v>
      </x:c>
      <x:c r="J914" s="40" t="n">
        <x:v>1003.13</x:v>
      </x:c>
      <x:c r="K914" s="16" t="str">
        <x:v>Novo</x:v>
      </x:c>
      <x:c r="L914" s="16" t="str">
        <x:v>Em aberto</x:v>
      </x:c>
      <x:c r="M914" s="16" t="str">
        <x:v>3b79226c-9707-4f10-ae25-ec2c964104ff</x:v>
      </x:c>
      <x:c r="N914" s="41" t="str"/>
    </x:row>
    <x:row r="915">
      <x:c r="A915" s="37" t="str">
        <x:f>"001408"</x:f>
        <x:v>001408</x:v>
      </x:c>
      <x:c r="B915" s="38" t="str">
        <x:f>"A"</x:f>
        <x:v>A</x:v>
      </x:c>
      <x:c r="C915" s="38" t="str">
        <x:v>GELMAR MARCELO PINTO FERNANDES</x:v>
      </x:c>
      <x:c r="D915" s="38" t="str">
        <x:f>"04253315631"</x:f>
        <x:v>04253315631</x:v>
      </x:c>
      <x:c r="E915" s="38" t="str">
        <x:f>""</x:f>
      </x:c>
      <x:c r="F915" s="38" t="str">
        <x:v>gelmarfernandes@gmail.com</x:v>
      </x:c>
      <x:c r="G915" s="39" t="n">
        <x:v>46122</x:v>
      </x:c>
      <x:c r="H915" s="16" t="str">
        <x:v>04/2026</x:v>
      </x:c>
      <x:c r="I915" s="40" t="n">
        <x:v>926.11</x:v>
      </x:c>
      <x:c r="J915" s="40" t="n">
        <x:v>998.22</x:v>
      </x:c>
      <x:c r="K915" s="16" t="str">
        <x:v>Novo</x:v>
      </x:c>
      <x:c r="L915" s="16" t="str">
        <x:v>Em aberto</x:v>
      </x:c>
      <x:c r="M915" s="16" t="str">
        <x:v>f07f8bbb-f944-4443-b020-f8b87f4e5c65</x:v>
      </x:c>
      <x:c r="N915" s="41" t="str"/>
    </x:row>
    <x:row r="916">
      <x:c r="A916" s="37" t="str">
        <x:f>"001408"</x:f>
        <x:v>001408</x:v>
      </x:c>
      <x:c r="B916" s="38" t="str">
        <x:f>"A"</x:f>
        <x:v>A</x:v>
      </x:c>
      <x:c r="C916" s="38" t="str">
        <x:v>GELMAR MARCELO PINTO FERNANDES</x:v>
      </x:c>
      <x:c r="D916" s="38" t="str">
        <x:f>"04253315631"</x:f>
        <x:v>04253315631</x:v>
      </x:c>
      <x:c r="E916" s="38" t="str">
        <x:f>""</x:f>
      </x:c>
      <x:c r="F916" s="38" t="str">
        <x:v>gelmarfernandes@gmail.com</x:v>
      </x:c>
      <x:c r="G916" s="39" t="n">
        <x:v>46152</x:v>
      </x:c>
      <x:c r="H916" s="16" t="str">
        <x:v>05/2026</x:v>
      </x:c>
      <x:c r="I916" s="40" t="n">
        <x:v>951.01</x:v>
      </x:c>
      <x:c r="J916" s="40" t="n">
        <x:v>1007.03</x:v>
      </x:c>
      <x:c r="K916" s="16" t="str">
        <x:v>Novo</x:v>
      </x:c>
      <x:c r="L916" s="16" t="str">
        <x:v>Em aberto</x:v>
      </x:c>
      <x:c r="M916" s="16" t="str">
        <x:v>800cb3b5-f1fb-44d0-953e-e74be9726363</x:v>
      </x:c>
      <x:c r="N916" s="41" t="str"/>
    </x:row>
    <x:row r="917">
      <x:c r="A917" s="37" t="str">
        <x:f>"001504"</x:f>
        <x:v>001504</x:v>
      </x:c>
      <x:c r="B917" s="38" t="str">
        <x:f>"A"</x:f>
        <x:v>A</x:v>
      </x:c>
      <x:c r="C917" s="38" t="str">
        <x:v>QUITERIA VIEIRA MACHADO</x:v>
      </x:c>
      <x:c r="D917" s="38" t="str">
        <x:f>"21294994816"</x:f>
        <x:v>21294994816</x:v>
      </x:c>
      <x:c r="E917" s="38" t="str">
        <x:f>""</x:f>
      </x:c>
      <x:c r="F917" s="38" t="str">
        <x:v>qvm.psicologa@uol.com.br</x:v>
      </x:c>
      <x:c r="G917" s="39" t="n">
        <x:v>46183</x:v>
      </x:c>
      <x:c r="H917" s="16" t="str">
        <x:v>06/2026</x:v>
      </x:c>
      <x:c r="I917" s="40" t="n">
        <x:v>849.02</x:v>
      </x:c>
      <x:c r="J917" s="40" t="n">
        <x:v>884.57</x:v>
      </x:c>
      <x:c r="K917" s="16" t="str">
        <x:v>Novo</x:v>
      </x:c>
      <x:c r="L917" s="16" t="str">
        <x:v>Em aberto</x:v>
      </x:c>
      <x:c r="M917" s="16" t="str">
        <x:v>7b728997-5fa4-4472-b1ff-d57df80db275</x:v>
      </x:c>
      <x:c r="N917" s="41" t="str"/>
    </x:row>
    <x:row r="918">
      <x:c r="A918" s="42" t="str">
        <x:f>"001508"</x:f>
        <x:v>001508</x:v>
      </x:c>
      <x:c r="B918" s="43" t="str">
        <x:f>"A"</x:f>
        <x:v>A</x:v>
      </x:c>
      <x:c r="C918" s="43" t="str">
        <x:v>AGNALDO SILVA DE PAULA</x:v>
      </x:c>
      <x:c r="D918" s="43" t="str">
        <x:f>""</x:f>
      </x:c>
      <x:c r="E918" s="43" t="str">
        <x:f>""</x:f>
      </x:c>
      <x:c r="F918" s="43" t="str"/>
      <x:c r="G918" s="44" t="n">
        <x:v>46032</x:v>
      </x:c>
      <x:c r="H918" s="20" t="str">
        <x:v>01/2026</x:v>
      </x:c>
      <x:c r="I918" s="45" t="n">
        <x:v>952.05</x:v>
      </x:c>
      <x:c r="J918" s="45" t="n">
        <x:v>1075.52</x:v>
      </x:c>
      <x:c r="K918" s="20" t="str">
        <x:v>Novo</x:v>
      </x:c>
      <x:c r="L918" s="20" t="str">
        <x:v>Em aberto</x:v>
      </x:c>
      <x:c r="M918" s="20" t="str">
        <x:v>bdf2f48e-0347-47d3-802b-b93e26b67653</x:v>
      </x:c>
      <x:c r="N918" s="46" t="str"/>
    </x:row>
    <x:row r="919">
      <x:c r="A919" s="47" t="str">
        <x:v>Subtotal</x:v>
      </x:c>
      <x:c r="B919" s="47" t="str"/>
      <x:c r="C919" s="47" t="str"/>
      <x:c r="D919" s="47" t="str"/>
      <x:c r="E919" s="47" t="str"/>
      <x:c r="F919" s="47" t="str"/>
      <x:c r="G919" s="47" t="str"/>
      <x:c r="H919" s="47" t="str"/>
      <x:c r="I919" s="47" t="str"/>
      <x:c r="J919" s="48" t="n">
        <x:v>15439.63</x:v>
      </x:c>
      <x:c r="K919" s="47" t="str">
        <x:v>17 novas</x:v>
      </x:c>
      <x:c r="L919" s="47" t="str">
        <x:v>0 ativas</x:v>
      </x:c>
      <x:c r="M919" s="47" t="str"/>
      <x:c r="N919" s="47" t="str"/>
    </x:row>
    <x:row r="921">
      <x:c r="A921" s="26" t="str">
        <x:v>CONDOMÍNIO VILA DAS CORES</x:v>
      </x:c>
      <x:c r="B921" s="26"/>
      <x:c r="C921" s="26"/>
      <x:c r="D921" s="26"/>
      <x:c r="E921" s="26"/>
      <x:c r="F921" s="26"/>
      <x:c r="G921" s="26"/>
      <x:c r="H921" s="26"/>
      <x:c r="I921" s="26"/>
      <x:c r="J921" s="26"/>
      <x:c r="K921" s="26"/>
      <x:c r="L921" s="26"/>
      <x:c r="M921" s="26"/>
      <x:c r="N921" s="26"/>
    </x:row>
    <x:row r="922">
      <x:c r="A922" s="28" t="str">
        <x:v>CNPJ</x:v>
      </x:c>
      <x:c r="B922" s="28" t="str">
        <x:v>08.258.385/0001-01</x:v>
      </x:c>
      <x:c r="C922" s="28"/>
      <x:c r="D922" s="28" t="str">
        <x:v>Dia de vencimento</x:v>
      </x:c>
      <x:c r="E922" s="28" t="n">
        <x:v>10</x:v>
      </x:c>
      <x:c r="F922" s="28" t="str">
        <x:v>Régua</x:v>
      </x:c>
      <x:c r="G922" s="28" t="str">
        <x:v>D+60 · pré-jurídico em D+90</x:v>
      </x:c>
      <x:c r="H922" s="28"/>
      <x:c r="I922" s="28"/>
      <x:c r="J922" s="28"/>
      <x:c r="K922" s="28"/>
      <x:c r="L922" s="28"/>
      <x:c r="M922" s="28"/>
      <x:c r="N922" s="28"/>
    </x:row>
    <x:row r="923">
      <x:c r="A923" s="9" t="str">
        <x:v>Unidade</x:v>
      </x:c>
      <x:c r="B923" s="9" t="str">
        <x:v>Bloco</x:v>
      </x:c>
      <x:c r="C923" s="9" t="str">
        <x:v>Responsável</x:v>
      </x:c>
      <x:c r="D923" s="9" t="str">
        <x:v>Documento</x:v>
      </x:c>
      <x:c r="E923" s="9" t="str">
        <x:v>Telefone</x:v>
      </x:c>
      <x:c r="F923" s="9" t="str">
        <x:v>E-mail</x:v>
      </x:c>
      <x:c r="G923" s="9" t="str">
        <x:v>Vencimento</x:v>
      </x:c>
      <x:c r="H923" s="9" t="str">
        <x:v>Competência</x:v>
      </x:c>
      <x:c r="I923" s="9" t="str">
        <x:v>Valor original</x:v>
      </x:c>
      <x:c r="J923" s="9" t="str">
        <x:v>Valor atualizado</x:v>
      </x:c>
      <x:c r="K923" s="9" t="str">
        <x:v>Status operacional</x:v>
      </x:c>
      <x:c r="L923" s="9" t="str">
        <x:v>Status financeiro</x:v>
      </x:c>
      <x:c r="M923" s="9" t="str">
        <x:v>ID cobrança</x:v>
      </x:c>
      <x:c r="N923" s="9" t="str">
        <x:v>Observação</x:v>
      </x:c>
    </x:row>
    <x:row r="924">
      <x:c r="A924" s="31" t="str">
        <x:f>"000021"</x:f>
        <x:v>000021</x:v>
      </x:c>
      <x:c r="B924" s="32" t="str">
        <x:f>"0"</x:f>
        <x:v>0</x:v>
      </x:c>
      <x:c r="C924" s="32" t="str">
        <x:v>ROSELI ABREU DA COSTA</x:v>
      </x:c>
      <x:c r="D924" s="32" t="str">
        <x:f>"18253104839"</x:f>
        <x:v>18253104839</x:v>
      </x:c>
      <x:c r="E924" s="32" t="str">
        <x:f>""</x:f>
      </x:c>
      <x:c r="F924" s="32" t="str">
        <x:v>hsbcemiliadezmil@gmail.com</x:v>
      </x:c>
      <x:c r="G924" s="33" t="n">
        <x:v>46122</x:v>
      </x:c>
      <x:c r="H924" s="34" t="str">
        <x:v>04/2026</x:v>
      </x:c>
      <x:c r="I924" s="35" t="n">
        <x:v>1020.56</x:v>
      </x:c>
      <x:c r="J924" s="35" t="n">
        <x:v>1105.77</x:v>
      </x:c>
      <x:c r="K924" s="34" t="str">
        <x:v>Novo</x:v>
      </x:c>
      <x:c r="L924" s="34" t="str">
        <x:v>Em aberto</x:v>
      </x:c>
      <x:c r="M924" s="34" t="str">
        <x:v>1ec6db2f-9116-48a3-89f8-25b7c54ba262</x:v>
      </x:c>
      <x:c r="N924" s="36" t="str"/>
    </x:row>
    <x:row r="925">
      <x:c r="A925" s="37" t="str">
        <x:f>"000021"</x:f>
        <x:v>000021</x:v>
      </x:c>
      <x:c r="B925" s="38" t="str">
        <x:f>"0"</x:f>
        <x:v>0</x:v>
      </x:c>
      <x:c r="C925" s="38" t="str">
        <x:v>ROSELI ABREU DA COSTA</x:v>
      </x:c>
      <x:c r="D925" s="38" t="str">
        <x:f>"18253104839"</x:f>
        <x:v>18253104839</x:v>
      </x:c>
      <x:c r="E925" s="38" t="str">
        <x:f>""</x:f>
      </x:c>
      <x:c r="F925" s="38" t="str">
        <x:v>hsbcemiliadezmil@gmail.com</x:v>
      </x:c>
      <x:c r="G925" s="39" t="n">
        <x:v>46152</x:v>
      </x:c>
      <x:c r="H925" s="16" t="str">
        <x:v>05/2026</x:v>
      </x:c>
      <x:c r="I925" s="40" t="n">
        <x:v>1033.71</x:v>
      </x:c>
      <x:c r="J925" s="40" t="n">
        <x:v>1088.82</x:v>
      </x:c>
      <x:c r="K925" s="16" t="str">
        <x:v>Novo</x:v>
      </x:c>
      <x:c r="L925" s="16" t="str">
        <x:v>Em aberto</x:v>
      </x:c>
      <x:c r="M925" s="16" t="str">
        <x:v>e4fa3cad-151d-4594-9c9b-f42e44bf0548</x:v>
      </x:c>
      <x:c r="N925" s="41" t="str"/>
    </x:row>
    <x:row r="926">
      <x:c r="A926" s="37" t="str">
        <x:f>"000090"</x:f>
        <x:v>000090</x:v>
      </x:c>
      <x:c r="B926" s="38" t="str">
        <x:f>"0"</x:f>
        <x:v>0</x:v>
      </x:c>
      <x:c r="C926" s="38" t="str">
        <x:v>MARCO ANTONIO LEITE</x:v>
      </x:c>
      <x:c r="D926" s="38" t="str">
        <x:f>"28226652812"</x:f>
        <x:v>28226652812</x:v>
      </x:c>
      <x:c r="E926" s="38" t="str">
        <x:f>"992216626"</x:f>
        <x:v>992216626</x:v>
      </x:c>
      <x:c r="F926" s="38" t="str">
        <x:v>mleitte06@yahoo.com.br</x:v>
      </x:c>
      <x:c r="G926" s="39" t="n">
        <x:v>46032</x:v>
      </x:c>
      <x:c r="H926" s="16" t="str">
        <x:v>01/2026</x:v>
      </x:c>
      <x:c r="I926" s="40" t="n">
        <x:v>1417.37</x:v>
      </x:c>
      <x:c r="J926" s="40" t="n">
        <x:v>1583.01</x:v>
      </x:c>
      <x:c r="K926" s="16" t="str">
        <x:v>Novo</x:v>
      </x:c>
      <x:c r="L926" s="16" t="str">
        <x:v>Em aberto</x:v>
      </x:c>
      <x:c r="M926" s="16" t="str">
        <x:v>e056ab02-a889-4586-b68e-c705bab8b6cf</x:v>
      </x:c>
      <x:c r="N926" s="41" t="str"/>
    </x:row>
    <x:row r="927">
      <x:c r="A927" s="37" t="str">
        <x:f>"000090"</x:f>
        <x:v>000090</x:v>
      </x:c>
      <x:c r="B927" s="38" t="str">
        <x:f>"0"</x:f>
        <x:v>0</x:v>
      </x:c>
      <x:c r="C927" s="38" t="str">
        <x:v>MARCO ANTONIO LEITE</x:v>
      </x:c>
      <x:c r="D927" s="38" t="str">
        <x:f>"28226652812"</x:f>
        <x:v>28226652812</x:v>
      </x:c>
      <x:c r="E927" s="38" t="str">
        <x:f>"992216626"</x:f>
        <x:v>992216626</x:v>
      </x:c>
      <x:c r="F927" s="38" t="str">
        <x:v>mleitte06@yahoo.com.br</x:v>
      </x:c>
      <x:c r="G927" s="39" t="n">
        <x:v>46063</x:v>
      </x:c>
      <x:c r="H927" s="16" t="str">
        <x:v>02/2026</x:v>
      </x:c>
      <x:c r="I927" s="40" t="n">
        <x:v>1195.98</x:v>
      </x:c>
      <x:c r="J927" s="40" t="n">
        <x:v>1317.87</x:v>
      </x:c>
      <x:c r="K927" s="16" t="str">
        <x:v>Novo</x:v>
      </x:c>
      <x:c r="L927" s="16" t="str">
        <x:v>Em aberto</x:v>
      </x:c>
      <x:c r="M927" s="16" t="str">
        <x:v>0160d3da-5d85-4b04-af09-7016b3f5f0ac</x:v>
      </x:c>
      <x:c r="N927" s="41" t="str"/>
    </x:row>
    <x:row r="928">
      <x:c r="A928" s="37" t="str">
        <x:f>"000090"</x:f>
        <x:v>000090</x:v>
      </x:c>
      <x:c r="B928" s="38" t="str">
        <x:f>"0"</x:f>
        <x:v>0</x:v>
      </x:c>
      <x:c r="C928" s="38" t="str">
        <x:v>MARCO ANTONIO LEITE</x:v>
      </x:c>
      <x:c r="D928" s="38" t="str">
        <x:f>"28226652812"</x:f>
        <x:v>28226652812</x:v>
      </x:c>
      <x:c r="E928" s="38" t="str">
        <x:f>"992216626"</x:f>
        <x:v>992216626</x:v>
      </x:c>
      <x:c r="F928" s="38" t="str">
        <x:v>mleitte06@yahoo.com.br</x:v>
      </x:c>
      <x:c r="G928" s="39" t="n">
        <x:v>46091</x:v>
      </x:c>
      <x:c r="H928" s="16" t="str">
        <x:v>03/2026</x:v>
      </x:c>
      <x:c r="I928" s="40" t="n">
        <x:v>1274.21</x:v>
      </x:c>
      <x:c r="J928" s="40" t="n">
        <x:v>1401.1</x:v>
      </x:c>
      <x:c r="K928" s="16" t="str">
        <x:v>Novo</x:v>
      </x:c>
      <x:c r="L928" s="16" t="str">
        <x:v>Em aberto</x:v>
      </x:c>
      <x:c r="M928" s="16" t="str">
        <x:v>b028f392-7e2f-42cd-951f-268038f293d7</x:v>
      </x:c>
      <x:c r="N928" s="41" t="str"/>
    </x:row>
    <x:row r="929">
      <x:c r="A929" s="37" t="str">
        <x:f>"000090"</x:f>
        <x:v>000090</x:v>
      </x:c>
      <x:c r="B929" s="38" t="str">
        <x:f>"0"</x:f>
        <x:v>0</x:v>
      </x:c>
      <x:c r="C929" s="38" t="str">
        <x:v>MARCO ANTONIO LEITE</x:v>
      </x:c>
      <x:c r="D929" s="38" t="str">
        <x:f>"28226652812"</x:f>
        <x:v>28226652812</x:v>
      </x:c>
      <x:c r="E929" s="38" t="str">
        <x:f>"992216626"</x:f>
        <x:v>992216626</x:v>
      </x:c>
      <x:c r="F929" s="38" t="str">
        <x:v>mleitte06@yahoo.com.br</x:v>
      </x:c>
      <x:c r="G929" s="39" t="n">
        <x:v>46122</x:v>
      </x:c>
      <x:c r="H929" s="16" t="str">
        <x:v>04/2026</x:v>
      </x:c>
      <x:c r="I929" s="40" t="n">
        <x:v>1031.35</x:v>
      </x:c>
      <x:c r="J929" s="40" t="n">
        <x:v>1117.47</x:v>
      </x:c>
      <x:c r="K929" s="16" t="str">
        <x:v>Novo</x:v>
      </x:c>
      <x:c r="L929" s="16" t="str">
        <x:v>Em aberto</x:v>
      </x:c>
      <x:c r="M929" s="16" t="str">
        <x:v>b543c8a0-da6c-49d5-bbaf-704adf07f59b</x:v>
      </x:c>
      <x:c r="N929" s="41" t="str"/>
    </x:row>
    <x:row r="930">
      <x:c r="A930" s="37" t="str">
        <x:f>"000090"</x:f>
        <x:v>000090</x:v>
      </x:c>
      <x:c r="B930" s="38" t="str">
        <x:f>"0"</x:f>
        <x:v>0</x:v>
      </x:c>
      <x:c r="C930" s="38" t="str">
        <x:v>MARCO ANTONIO LEITE</x:v>
      </x:c>
      <x:c r="D930" s="38" t="str">
        <x:f>"28226652812"</x:f>
        <x:v>28226652812</x:v>
      </x:c>
      <x:c r="E930" s="38" t="str">
        <x:f>"992216626"</x:f>
        <x:v>992216626</x:v>
      </x:c>
      <x:c r="F930" s="38" t="str">
        <x:v>mleitte06@yahoo.com.br</x:v>
      </x:c>
      <x:c r="G930" s="39" t="n">
        <x:v>46152</x:v>
      </x:c>
      <x:c r="H930" s="16" t="str">
        <x:v>05/2026</x:v>
      </x:c>
      <x:c r="I930" s="40" t="n">
        <x:v>1044.64</x:v>
      </x:c>
      <x:c r="J930" s="40" t="n">
        <x:v>1100.34</x:v>
      </x:c>
      <x:c r="K930" s="16" t="str">
        <x:v>Novo</x:v>
      </x:c>
      <x:c r="L930" s="16" t="str">
        <x:v>Em aberto</x:v>
      </x:c>
      <x:c r="M930" s="16" t="str">
        <x:v>9ad30bb3-0042-418d-8dd4-ef4fd46a83e6</x:v>
      </x:c>
      <x:c r="N930" s="41" t="str"/>
    </x:row>
    <x:row r="931">
      <x:c r="A931" s="37" t="str">
        <x:f>"000090"</x:f>
        <x:v>000090</x:v>
      </x:c>
      <x:c r="B931" s="38" t="str">
        <x:f>"0"</x:f>
        <x:v>0</x:v>
      </x:c>
      <x:c r="C931" s="38" t="str">
        <x:v>MARCO ANTONIO LEITE</x:v>
      </x:c>
      <x:c r="D931" s="38" t="str">
        <x:f>"28226652812"</x:f>
        <x:v>28226652812</x:v>
      </x:c>
      <x:c r="E931" s="38" t="str">
        <x:f>"992216626"</x:f>
        <x:v>992216626</x:v>
      </x:c>
      <x:c r="F931" s="38" t="str">
        <x:v>mleitte06@yahoo.com.br</x:v>
      </x:c>
      <x:c r="G931" s="39" t="n">
        <x:v>46183</x:v>
      </x:c>
      <x:c r="H931" s="16" t="str">
        <x:v>06/2026</x:v>
      </x:c>
      <x:c r="I931" s="40" t="n">
        <x:v>1043.76</x:v>
      </x:c>
      <x:c r="J931" s="40" t="n">
        <x:v>1088.78</x:v>
      </x:c>
      <x:c r="K931" s="16" t="str">
        <x:v>Novo</x:v>
      </x:c>
      <x:c r="L931" s="16" t="str">
        <x:v>Em aberto</x:v>
      </x:c>
      <x:c r="M931" s="16" t="str">
        <x:v>001bbe95-5a0c-411a-a166-738db75e21e6</x:v>
      </x:c>
      <x:c r="N931" s="41" t="str"/>
    </x:row>
    <x:row r="932">
      <x:c r="A932" s="37" t="str">
        <x:f>"000103"</x:f>
        <x:v>000103</x:v>
      </x:c>
      <x:c r="B932" s="38" t="str">
        <x:f>"0"</x:f>
        <x:v>0</x:v>
      </x:c>
      <x:c r="C932" s="38" t="str">
        <x:v>THEODORO ROQUE TORTORO</x:v>
      </x:c>
      <x:c r="D932" s="38" t="str">
        <x:f>"28162864873"</x:f>
        <x:v>28162864873</x:v>
      </x:c>
      <x:c r="E932" s="38" t="str">
        <x:f>"38860517"</x:f>
        <x:v>38860517</x:v>
      </x:c>
      <x:c r="F932" s="38" t="str">
        <x:v>brunobc134@gmail.com</x:v>
      </x:c>
      <x:c r="G932" s="39" t="n">
        <x:v>46032</x:v>
      </x:c>
      <x:c r="H932" s="16" t="str">
        <x:v>01/2026</x:v>
      </x:c>
      <x:c r="I932" s="40" t="n">
        <x:v>1118.02</x:v>
      </x:c>
      <x:c r="J932" s="40" t="n">
        <x:v>1248.65</x:v>
      </x:c>
      <x:c r="K932" s="16" t="str">
        <x:v>Novo</x:v>
      </x:c>
      <x:c r="L932" s="16" t="str">
        <x:v>Em aberto</x:v>
      </x:c>
      <x:c r="M932" s="16" t="str">
        <x:v>1dd2a902-f66b-4342-9544-ceefc219bb55</x:v>
      </x:c>
      <x:c r="N932" s="41" t="str"/>
    </x:row>
    <x:row r="933">
      <x:c r="A933" s="37" t="str">
        <x:f>"000103"</x:f>
        <x:v>000103</x:v>
      </x:c>
      <x:c r="B933" s="38" t="str">
        <x:f>"0"</x:f>
        <x:v>0</x:v>
      </x:c>
      <x:c r="C933" s="38" t="str">
        <x:v>THEODORO ROQUE TORTORO</x:v>
      </x:c>
      <x:c r="D933" s="38" t="str">
        <x:f>"28162864873"</x:f>
        <x:v>28162864873</x:v>
      </x:c>
      <x:c r="E933" s="38" t="str">
        <x:f>"38860517"</x:f>
        <x:v>38860517</x:v>
      </x:c>
      <x:c r="F933" s="38" t="str">
        <x:v>brunobc134@gmail.com</x:v>
      </x:c>
      <x:c r="G933" s="39" t="n">
        <x:v>46063</x:v>
      </x:c>
      <x:c r="H933" s="16" t="str">
        <x:v>02/2026</x:v>
      </x:c>
      <x:c r="I933" s="40" t="n">
        <x:v>1025.04</x:v>
      </x:c>
      <x:c r="J933" s="40" t="n">
        <x:v>1129.52</x:v>
      </x:c>
      <x:c r="K933" s="16" t="str">
        <x:v>Novo</x:v>
      </x:c>
      <x:c r="L933" s="16" t="str">
        <x:v>Em aberto</x:v>
      </x:c>
      <x:c r="M933" s="16" t="str">
        <x:v>a89363ba-afdc-4b0e-bfd1-42b2edea6061</x:v>
      </x:c>
      <x:c r="N933" s="41" t="str"/>
    </x:row>
    <x:row r="934">
      <x:c r="A934" s="37" t="str">
        <x:f>"000103"</x:f>
        <x:v>000103</x:v>
      </x:c>
      <x:c r="B934" s="38" t="str">
        <x:f>"0"</x:f>
        <x:v>0</x:v>
      </x:c>
      <x:c r="C934" s="38" t="str">
        <x:v>THEODORO ROQUE TORTORO</x:v>
      </x:c>
      <x:c r="D934" s="38" t="str">
        <x:f>"28162864873"</x:f>
        <x:v>28162864873</x:v>
      </x:c>
      <x:c r="E934" s="38" t="str">
        <x:f>"38860517"</x:f>
        <x:v>38860517</x:v>
      </x:c>
      <x:c r="F934" s="38" t="str">
        <x:v>brunobc134@gmail.com</x:v>
      </x:c>
      <x:c r="G934" s="39" t="n">
        <x:v>46091</x:v>
      </x:c>
      <x:c r="H934" s="16" t="str">
        <x:v>03/2026</x:v>
      </x:c>
      <x:c r="I934" s="40" t="n">
        <x:v>1039.4</x:v>
      </x:c>
      <x:c r="J934" s="40" t="n">
        <x:v>1142.91</x:v>
      </x:c>
      <x:c r="K934" s="16" t="str">
        <x:v>Novo</x:v>
      </x:c>
      <x:c r="L934" s="16" t="str">
        <x:v>Em aberto</x:v>
      </x:c>
      <x:c r="M934" s="16" t="str">
        <x:v>e06c971c-f152-437c-b1a0-18867bca3ed9</x:v>
      </x:c>
      <x:c r="N934" s="41" t="str"/>
    </x:row>
    <x:row r="935">
      <x:c r="A935" s="37" t="str">
        <x:f>"000103"</x:f>
        <x:v>000103</x:v>
      </x:c>
      <x:c r="B935" s="38" t="str">
        <x:f>"0"</x:f>
        <x:v>0</x:v>
      </x:c>
      <x:c r="C935" s="38" t="str">
        <x:v>THEODORO ROQUE TORTORO</x:v>
      </x:c>
      <x:c r="D935" s="38" t="str">
        <x:f>"28162864873"</x:f>
        <x:v>28162864873</x:v>
      </x:c>
      <x:c r="E935" s="38" t="str">
        <x:f>"38860517"</x:f>
        <x:v>38860517</x:v>
      </x:c>
      <x:c r="F935" s="38" t="str">
        <x:v>brunobc134@gmail.com</x:v>
      </x:c>
      <x:c r="G935" s="39" t="n">
        <x:v>46122</x:v>
      </x:c>
      <x:c r="H935" s="16" t="str">
        <x:v>04/2026</x:v>
      </x:c>
      <x:c r="I935" s="40" t="n">
        <x:v>1020.56</x:v>
      </x:c>
      <x:c r="J935" s="40" t="n">
        <x:v>1105.77</x:v>
      </x:c>
      <x:c r="K935" s="16" t="str">
        <x:v>Novo</x:v>
      </x:c>
      <x:c r="L935" s="16" t="str">
        <x:v>Em aberto</x:v>
      </x:c>
      <x:c r="M935" s="16" t="str">
        <x:v>a0abc2ef-8f22-4d42-8639-763f61da79ce</x:v>
      </x:c>
      <x:c r="N935" s="41" t="str"/>
    </x:row>
    <x:row r="936">
      <x:c r="A936" s="37" t="str">
        <x:f>"000103"</x:f>
        <x:v>000103</x:v>
      </x:c>
      <x:c r="B936" s="38" t="str">
        <x:f>"0"</x:f>
        <x:v>0</x:v>
      </x:c>
      <x:c r="C936" s="38" t="str">
        <x:v>THEODORO ROQUE TORTORO</x:v>
      </x:c>
      <x:c r="D936" s="38" t="str">
        <x:f>"28162864873"</x:f>
        <x:v>28162864873</x:v>
      </x:c>
      <x:c r="E936" s="38" t="str">
        <x:f>"38860517"</x:f>
        <x:v>38860517</x:v>
      </x:c>
      <x:c r="F936" s="38" t="str">
        <x:v>brunobc134@gmail.com</x:v>
      </x:c>
      <x:c r="G936" s="39" t="n">
        <x:v>46152</x:v>
      </x:c>
      <x:c r="H936" s="16" t="str">
        <x:v>05/2026</x:v>
      </x:c>
      <x:c r="I936" s="40" t="n">
        <x:v>1033.71</x:v>
      </x:c>
      <x:c r="J936" s="40" t="n">
        <x:v>1088.82</x:v>
      </x:c>
      <x:c r="K936" s="16" t="str">
        <x:v>Novo</x:v>
      </x:c>
      <x:c r="L936" s="16" t="str">
        <x:v>Em aberto</x:v>
      </x:c>
      <x:c r="M936" s="16" t="str">
        <x:v>a9a968fc-3593-4a2d-9543-2b9ecde57e48</x:v>
      </x:c>
      <x:c r="N936" s="41" t="str"/>
    </x:row>
    <x:row r="937">
      <x:c r="A937" s="37" t="str">
        <x:f>"000103"</x:f>
        <x:v>000103</x:v>
      </x:c>
      <x:c r="B937" s="38" t="str">
        <x:f>"0"</x:f>
        <x:v>0</x:v>
      </x:c>
      <x:c r="C937" s="38" t="str">
        <x:v>THEODORO ROQUE TORTORO</x:v>
      </x:c>
      <x:c r="D937" s="38" t="str">
        <x:f>"28162864873"</x:f>
        <x:v>28162864873</x:v>
      </x:c>
      <x:c r="E937" s="38" t="str">
        <x:f>"38860517"</x:f>
        <x:v>38860517</x:v>
      </x:c>
      <x:c r="F937" s="38" t="str">
        <x:v>brunobc134@gmail.com</x:v>
      </x:c>
      <x:c r="G937" s="39" t="n">
        <x:v>46183</x:v>
      </x:c>
      <x:c r="H937" s="16" t="str">
        <x:v>06/2026</x:v>
      </x:c>
      <x:c r="I937" s="40" t="n">
        <x:v>1032.84</x:v>
      </x:c>
      <x:c r="J937" s="40" t="n">
        <x:v>1077.37</x:v>
      </x:c>
      <x:c r="K937" s="16" t="str">
        <x:v>Novo</x:v>
      </x:c>
      <x:c r="L937" s="16" t="str">
        <x:v>Em aberto</x:v>
      </x:c>
      <x:c r="M937" s="16" t="str">
        <x:v>d897343c-c887-4d81-a797-1c77c1150c72</x:v>
      </x:c>
      <x:c r="N937" s="41" t="str"/>
    </x:row>
    <x:row r="938">
      <x:c r="A938" s="37" t="str">
        <x:f>"000112"</x:f>
        <x:v>000112</x:v>
      </x:c>
      <x:c r="B938" s="38" t="str">
        <x:f>"0"</x:f>
        <x:v>0</x:v>
      </x:c>
      <x:c r="C938" s="38" t="str">
        <x:v>JURACI PRIMO FERNANDES</x:v>
      </x:c>
      <x:c r="D938" s="38" t="str">
        <x:f>"48014982649"</x:f>
        <x:v>48014982649</x:v>
      </x:c>
      <x:c r="E938" s="38" t="str">
        <x:f>"58120670"</x:f>
        <x:v>58120670</x:v>
      </x:c>
      <x:c r="F938" s="38" t="str"/>
      <x:c r="G938" s="39" t="n">
        <x:v>46063</x:v>
      </x:c>
      <x:c r="H938" s="16" t="str">
        <x:v>02/2026</x:v>
      </x:c>
      <x:c r="I938" s="40" t="n">
        <x:v>1237.98</x:v>
      </x:c>
      <x:c r="J938" s="40" t="n">
        <x:v>1364.16</x:v>
      </x:c>
      <x:c r="K938" s="16" t="str">
        <x:v>Novo</x:v>
      </x:c>
      <x:c r="L938" s="16" t="str">
        <x:v>Em aberto</x:v>
      </x:c>
      <x:c r="M938" s="16" t="str">
        <x:v>5899e587-1bca-4559-b6ca-b8b12ae4a785</x:v>
      </x:c>
      <x:c r="N938" s="41" t="str"/>
    </x:row>
    <x:row r="939">
      <x:c r="A939" s="37" t="str">
        <x:f>"000112"</x:f>
        <x:v>000112</x:v>
      </x:c>
      <x:c r="B939" s="38" t="str">
        <x:f>"0"</x:f>
        <x:v>0</x:v>
      </x:c>
      <x:c r="C939" s="38" t="str">
        <x:v>JURACI PRIMO FERNANDES</x:v>
      </x:c>
      <x:c r="D939" s="38" t="str">
        <x:f>"48014982649"</x:f>
        <x:v>48014982649</x:v>
      </x:c>
      <x:c r="E939" s="38" t="str">
        <x:f>"58120670"</x:f>
        <x:v>58120670</x:v>
      </x:c>
      <x:c r="F939" s="38" t="str"/>
      <x:c r="G939" s="39" t="n">
        <x:v>46091</x:v>
      </x:c>
      <x:c r="H939" s="16" t="str">
        <x:v>03/2026</x:v>
      </x:c>
      <x:c r="I939" s="40" t="n">
        <x:v>1264.56</x:v>
      </x:c>
      <x:c r="J939" s="40" t="n">
        <x:v>1390.49</x:v>
      </x:c>
      <x:c r="K939" s="16" t="str">
        <x:v>Novo</x:v>
      </x:c>
      <x:c r="L939" s="16" t="str">
        <x:v>Em aberto</x:v>
      </x:c>
      <x:c r="M939" s="16" t="str">
        <x:v>e49ea199-a28f-454c-952a-61c9466d1565</x:v>
      </x:c>
      <x:c r="N939" s="41" t="str"/>
    </x:row>
    <x:row r="940">
      <x:c r="A940" s="37" t="str">
        <x:f>"000112"</x:f>
        <x:v>000112</x:v>
      </x:c>
      <x:c r="B940" s="38" t="str">
        <x:f>"0"</x:f>
        <x:v>0</x:v>
      </x:c>
      <x:c r="C940" s="38" t="str">
        <x:v>JURACI PRIMO FERNANDES</x:v>
      </x:c>
      <x:c r="D940" s="38" t="str">
        <x:f>"48014982649"</x:f>
        <x:v>48014982649</x:v>
      </x:c>
      <x:c r="E940" s="38" t="str">
        <x:f>"58120670"</x:f>
        <x:v>58120670</x:v>
      </x:c>
      <x:c r="F940" s="38" t="str"/>
      <x:c r="G940" s="39" t="n">
        <x:v>46152</x:v>
      </x:c>
      <x:c r="H940" s="16" t="str">
        <x:v>05/2026</x:v>
      </x:c>
      <x:c r="I940" s="40" t="n">
        <x:v>1044.64</x:v>
      </x:c>
      <x:c r="J940" s="40" t="n">
        <x:v>1100.34</x:v>
      </x:c>
      <x:c r="K940" s="16" t="str">
        <x:v>Novo</x:v>
      </x:c>
      <x:c r="L940" s="16" t="str">
        <x:v>Em aberto</x:v>
      </x:c>
      <x:c r="M940" s="16" t="str">
        <x:v>e6c4ab0c-2c21-449e-901e-06ed44f0c088</x:v>
      </x:c>
      <x:c r="N940" s="41" t="str"/>
    </x:row>
    <x:row r="941">
      <x:c r="A941" s="37" t="str">
        <x:f>"000112"</x:f>
        <x:v>000112</x:v>
      </x:c>
      <x:c r="B941" s="38" t="str">
        <x:f>"0"</x:f>
        <x:v>0</x:v>
      </x:c>
      <x:c r="C941" s="38" t="str">
        <x:v>JURACI PRIMO FERNANDES</x:v>
      </x:c>
      <x:c r="D941" s="38" t="str">
        <x:f>"48014982649"</x:f>
        <x:v>48014982649</x:v>
      </x:c>
      <x:c r="E941" s="38" t="str">
        <x:f>"58120670"</x:f>
        <x:v>58120670</x:v>
      </x:c>
      <x:c r="F941" s="38" t="str"/>
      <x:c r="G941" s="39" t="n">
        <x:v>46183</x:v>
      </x:c>
      <x:c r="H941" s="16" t="str">
        <x:v>06/2026</x:v>
      </x:c>
      <x:c r="I941" s="40" t="n">
        <x:v>1043.76</x:v>
      </x:c>
      <x:c r="J941" s="40" t="n">
        <x:v>1088.78</x:v>
      </x:c>
      <x:c r="K941" s="16" t="str">
        <x:v>Novo</x:v>
      </x:c>
      <x:c r="L941" s="16" t="str">
        <x:v>Em aberto</x:v>
      </x:c>
      <x:c r="M941" s="16" t="str">
        <x:v>5668c5c9-3bd0-4df7-8b8b-8e49b226a74d</x:v>
      </x:c>
      <x:c r="N941" s="41" t="str"/>
    </x:row>
    <x:row r="942">
      <x:c r="A942" s="37" t="str">
        <x:f>"000123"</x:f>
        <x:v>000123</x:v>
      </x:c>
      <x:c r="B942" s="38" t="str">
        <x:f>"0"</x:f>
        <x:v>0</x:v>
      </x:c>
      <x:c r="C942" s="38" t="str">
        <x:v>LUCIANA ALONSO CORREIA DA SILVA</x:v>
      </x:c>
      <x:c r="D942" s="38" t="str">
        <x:f>"32821265816"</x:f>
        <x:v>32821265816</x:v>
      </x:c>
      <x:c r="E942" s="38" t="str">
        <x:f>"960609528"</x:f>
        <x:v>960609528</x:v>
      </x:c>
      <x:c r="F942" s="38" t="str"/>
      <x:c r="G942" s="39" t="n">
        <x:v>46122</x:v>
      </x:c>
      <x:c r="H942" s="16" t="str">
        <x:v>04/2026</x:v>
      </x:c>
      <x:c r="I942" s="40" t="n">
        <x:v>1032.79</x:v>
      </x:c>
      <x:c r="J942" s="40" t="n">
        <x:v>1119.02</x:v>
      </x:c>
      <x:c r="K942" s="16" t="str">
        <x:v>Novo</x:v>
      </x:c>
      <x:c r="L942" s="16" t="str">
        <x:v>Em aberto</x:v>
      </x:c>
      <x:c r="M942" s="16" t="str">
        <x:v>3259b214-4262-4801-a7a3-ac5b83518d82</x:v>
      </x:c>
      <x:c r="N942" s="41" t="str"/>
    </x:row>
    <x:row r="943">
      <x:c r="A943" s="37" t="str">
        <x:f>"000137"</x:f>
        <x:v>000137</x:v>
      </x:c>
      <x:c r="B943" s="38" t="str">
        <x:f>"0"</x:f>
        <x:v>0</x:v>
      </x:c>
      <x:c r="C943" s="38" t="str">
        <x:v>CRISTIANE APARECIDA PEREIRA DIAS</x:v>
      </x:c>
      <x:c r="D943" s="38" t="str">
        <x:f>""</x:f>
      </x:c>
      <x:c r="E943" s="38" t="str">
        <x:f>""</x:f>
      </x:c>
      <x:c r="F943" s="38" t="str"/>
      <x:c r="G943" s="39" t="n">
        <x:v>46032</x:v>
      </x:c>
      <x:c r="H943" s="16" t="str">
        <x:v>01/2026</x:v>
      </x:c>
      <x:c r="I943" s="40" t="n">
        <x:v>1092.98</x:v>
      </x:c>
      <x:c r="J943" s="40" t="n">
        <x:v>1220.7</x:v>
      </x:c>
      <x:c r="K943" s="16" t="str">
        <x:v>Novo</x:v>
      </x:c>
      <x:c r="L943" s="16" t="str">
        <x:v>Em aberto</x:v>
      </x:c>
      <x:c r="M943" s="16" t="str">
        <x:v>c3123239-4627-4a47-bd68-6e59199c24af</x:v>
      </x:c>
      <x:c r="N943" s="41" t="str"/>
    </x:row>
    <x:row r="944">
      <x:c r="A944" s="37" t="str">
        <x:f>"000137"</x:f>
        <x:v>000137</x:v>
      </x:c>
      <x:c r="B944" s="38" t="str">
        <x:f>"0"</x:f>
        <x:v>0</x:v>
      </x:c>
      <x:c r="C944" s="38" t="str">
        <x:v>CRISTIANE APARECIDA PEREIRA DIAS</x:v>
      </x:c>
      <x:c r="D944" s="38" t="str">
        <x:f>""</x:f>
      </x:c>
      <x:c r="E944" s="38" t="str">
        <x:f>""</x:f>
      </x:c>
      <x:c r="F944" s="38" t="str"/>
      <x:c r="G944" s="39" t="n">
        <x:v>46063</x:v>
      </x:c>
      <x:c r="H944" s="16" t="str">
        <x:v>02/2026</x:v>
      </x:c>
      <x:c r="I944" s="40" t="n">
        <x:v>1036.5</x:v>
      </x:c>
      <x:c r="J944" s="40" t="n">
        <x:v>1142.16</x:v>
      </x:c>
      <x:c r="K944" s="16" t="str">
        <x:v>Novo</x:v>
      </x:c>
      <x:c r="L944" s="16" t="str">
        <x:v>Em aberto</x:v>
      </x:c>
      <x:c r="M944" s="16" t="str">
        <x:v>f28023d7-232a-4443-9f45-186ffc8ddaf2</x:v>
      </x:c>
      <x:c r="N944" s="41" t="str"/>
    </x:row>
    <x:row r="945">
      <x:c r="A945" s="37" t="str">
        <x:f>"000140"</x:f>
        <x:v>000140</x:v>
      </x:c>
      <x:c r="B945" s="38" t="str">
        <x:f>"0"</x:f>
        <x:v>0</x:v>
      </x:c>
      <x:c r="C945" s="38" t="str">
        <x:v>VALMIRA ALVES DE SOUZA</x:v>
      </x:c>
      <x:c r="D945" s="38" t="str">
        <x:f>"28860134803"</x:f>
        <x:v>28860134803</x:v>
      </x:c>
      <x:c r="E945" s="38" t="str">
        <x:f>"50605500"</x:f>
        <x:v>50605500</x:v>
      </x:c>
      <x:c r="F945" s="38" t="str"/>
      <x:c r="G945" s="39" t="n">
        <x:v>46183</x:v>
      </x:c>
      <x:c r="H945" s="16" t="str">
        <x:v>06/2026</x:v>
      </x:c>
      <x:c r="I945" s="40" t="n">
        <x:v>1044.14</x:v>
      </x:c>
      <x:c r="J945" s="40" t="n">
        <x:v>1089.16</x:v>
      </x:c>
      <x:c r="K945" s="16" t="str">
        <x:v>Novo</x:v>
      </x:c>
      <x:c r="L945" s="16" t="str">
        <x:v>Em aberto</x:v>
      </x:c>
      <x:c r="M945" s="16" t="str">
        <x:v>161bd9dd-2cac-4687-9d4f-ebd4efe73e1f</x:v>
      </x:c>
      <x:c r="N945" s="41" t="str"/>
    </x:row>
    <x:row r="946">
      <x:c r="A946" s="37" t="str">
        <x:f>"000142"</x:f>
        <x:v>000142</x:v>
      </x:c>
      <x:c r="B946" s="38" t="str">
        <x:f>"0"</x:f>
        <x:v>0</x:v>
      </x:c>
      <x:c r="C946" s="38" t="str">
        <x:v>ITAÚ UNIBANCO SA</x:v>
      </x:c>
      <x:c r="D946" s="38" t="str">
        <x:f>"60701190000104"</x:f>
        <x:v>60701190000104</x:v>
      </x:c>
      <x:c r="E946" s="38" t="str">
        <x:f>""</x:f>
      </x:c>
      <x:c r="F946" s="38" t="str">
        <x:v>jaquelinegv@hotmail.com</x:v>
      </x:c>
      <x:c r="G946" s="39" t="n">
        <x:v>46032</x:v>
      </x:c>
      <x:c r="H946" s="16" t="str">
        <x:v>01/2026</x:v>
      </x:c>
      <x:c r="I946" s="40" t="n">
        <x:v>1138.59</x:v>
      </x:c>
      <x:c r="J946" s="40" t="n">
        <x:v>1271.63</x:v>
      </x:c>
      <x:c r="K946" s="16" t="str">
        <x:v>Novo</x:v>
      </x:c>
      <x:c r="L946" s="16" t="str">
        <x:v>Em aberto</x:v>
      </x:c>
      <x:c r="M946" s="16" t="str">
        <x:v>1e21f19e-0633-4742-8a9d-639ca308575c</x:v>
      </x:c>
      <x:c r="N946" s="41" t="str"/>
    </x:row>
    <x:row r="947">
      <x:c r="A947" s="37" t="str">
        <x:f>"000142"</x:f>
        <x:v>000142</x:v>
      </x:c>
      <x:c r="B947" s="38" t="str">
        <x:f>"0"</x:f>
        <x:v>0</x:v>
      </x:c>
      <x:c r="C947" s="38" t="str">
        <x:v>ITAÚ UNIBANCO SA</x:v>
      </x:c>
      <x:c r="D947" s="38" t="str">
        <x:f>"60701190000104"</x:f>
        <x:v>60701190000104</x:v>
      </x:c>
      <x:c r="E947" s="38" t="str">
        <x:f>""</x:f>
      </x:c>
      <x:c r="F947" s="38" t="str">
        <x:v>jaquelinegv@hotmail.com</x:v>
      </x:c>
      <x:c r="G947" s="39" t="n">
        <x:v>46063</x:v>
      </x:c>
      <x:c r="H947" s="16" t="str">
        <x:v>02/2026</x:v>
      </x:c>
      <x:c r="I947" s="40" t="n">
        <x:v>1017.91</x:v>
      </x:c>
      <x:c r="J947" s="40" t="n">
        <x:v>1121.67</x:v>
      </x:c>
      <x:c r="K947" s="16" t="str">
        <x:v>Novo</x:v>
      </x:c>
      <x:c r="L947" s="16" t="str">
        <x:v>Em aberto</x:v>
      </x:c>
      <x:c r="M947" s="16" t="str">
        <x:v>4a9417cc-104b-4158-8adb-4528273e0aa7</x:v>
      </x:c>
      <x:c r="N947" s="41" t="str"/>
    </x:row>
    <x:row r="948">
      <x:c r="A948" s="37" t="str">
        <x:f>"000142"</x:f>
        <x:v>000142</x:v>
      </x:c>
      <x:c r="B948" s="38" t="str">
        <x:f>"0"</x:f>
        <x:v>0</x:v>
      </x:c>
      <x:c r="C948" s="38" t="str">
        <x:v>ITAÚ UNIBANCO SA</x:v>
      </x:c>
      <x:c r="D948" s="38" t="str">
        <x:f>"60701190000104"</x:f>
        <x:v>60701190000104</x:v>
      </x:c>
      <x:c r="E948" s="38" t="str">
        <x:f>""</x:f>
      </x:c>
      <x:c r="F948" s="38" t="str">
        <x:v>jaquelinegv@hotmail.com</x:v>
      </x:c>
      <x:c r="G948" s="39" t="n">
        <x:v>46091</x:v>
      </x:c>
      <x:c r="H948" s="16" t="str">
        <x:v>03/2026</x:v>
      </x:c>
      <x:c r="I948" s="40" t="n">
        <x:v>1046.11</x:v>
      </x:c>
      <x:c r="J948" s="40" t="n">
        <x:v>1150.29</x:v>
      </x:c>
      <x:c r="K948" s="16" t="str">
        <x:v>Novo</x:v>
      </x:c>
      <x:c r="L948" s="16" t="str">
        <x:v>Em aberto</x:v>
      </x:c>
      <x:c r="M948" s="16" t="str">
        <x:v>e381cf6e-35b8-418d-b533-15c82314fa78</x:v>
      </x:c>
      <x:c r="N948" s="41" t="str"/>
    </x:row>
    <x:row r="949">
      <x:c r="A949" s="37" t="str">
        <x:f>"000142"</x:f>
        <x:v>000142</x:v>
      </x:c>
      <x:c r="B949" s="38" t="str">
        <x:f>"0"</x:f>
        <x:v>0</x:v>
      </x:c>
      <x:c r="C949" s="38" t="str">
        <x:v>ITAÚ UNIBANCO SA</x:v>
      </x:c>
      <x:c r="D949" s="38" t="str">
        <x:f>"60701190000104"</x:f>
        <x:v>60701190000104</x:v>
      </x:c>
      <x:c r="E949" s="38" t="str">
        <x:f>""</x:f>
      </x:c>
      <x:c r="F949" s="38" t="str">
        <x:v>jaquelinegv@hotmail.com</x:v>
      </x:c>
      <x:c r="G949" s="39" t="n">
        <x:v>46122</x:v>
      </x:c>
      <x:c r="H949" s="16" t="str">
        <x:v>04/2026</x:v>
      </x:c>
      <x:c r="I949" s="40" t="n">
        <x:v>1020.91</x:v>
      </x:c>
      <x:c r="J949" s="40" t="n">
        <x:v>1106.17</x:v>
      </x:c>
      <x:c r="K949" s="16" t="str">
        <x:v>Novo</x:v>
      </x:c>
      <x:c r="L949" s="16" t="str">
        <x:v>Em aberto</x:v>
      </x:c>
      <x:c r="M949" s="16" t="str">
        <x:v>a4ea280b-bbe0-4582-af49-c65486dccc3b</x:v>
      </x:c>
      <x:c r="N949" s="41" t="str"/>
    </x:row>
    <x:row r="950">
      <x:c r="A950" s="37" t="str">
        <x:f>"000142"</x:f>
        <x:v>000142</x:v>
      </x:c>
      <x:c r="B950" s="38" t="str">
        <x:f>"0"</x:f>
        <x:v>0</x:v>
      </x:c>
      <x:c r="C950" s="38" t="str">
        <x:v>ITAÚ UNIBANCO SA</x:v>
      </x:c>
      <x:c r="D950" s="38" t="str">
        <x:f>"60701190000104"</x:f>
        <x:v>60701190000104</x:v>
      </x:c>
      <x:c r="E950" s="38" t="str">
        <x:f>""</x:f>
      </x:c>
      <x:c r="F950" s="38" t="str">
        <x:v>jaquelinegv@hotmail.com</x:v>
      </x:c>
      <x:c r="G950" s="39" t="n">
        <x:v>46152</x:v>
      </x:c>
      <x:c r="H950" s="16" t="str">
        <x:v>05/2026</x:v>
      </x:c>
      <x:c r="I950" s="40" t="n">
        <x:v>1034.07</x:v>
      </x:c>
      <x:c r="J950" s="40" t="n">
        <x:v>1089.2</x:v>
      </x:c>
      <x:c r="K950" s="16" t="str">
        <x:v>Novo</x:v>
      </x:c>
      <x:c r="L950" s="16" t="str">
        <x:v>Em aberto</x:v>
      </x:c>
      <x:c r="M950" s="16" t="str">
        <x:v>90acf13b-0295-461e-b2e3-f12dfcfec700</x:v>
      </x:c>
      <x:c r="N950" s="41" t="str"/>
    </x:row>
    <x:row r="951">
      <x:c r="A951" s="37" t="str">
        <x:f>"000142"</x:f>
        <x:v>000142</x:v>
      </x:c>
      <x:c r="B951" s="38" t="str">
        <x:f>"0"</x:f>
        <x:v>0</x:v>
      </x:c>
      <x:c r="C951" s="38" t="str">
        <x:v>ITAÚ UNIBANCO SA</x:v>
      </x:c>
      <x:c r="D951" s="38" t="str">
        <x:f>"60701190000104"</x:f>
        <x:v>60701190000104</x:v>
      </x:c>
      <x:c r="E951" s="38" t="str">
        <x:f>""</x:f>
      </x:c>
      <x:c r="F951" s="38" t="str">
        <x:v>jaquelinegv@hotmail.com</x:v>
      </x:c>
      <x:c r="G951" s="39" t="n">
        <x:v>46183</x:v>
      </x:c>
      <x:c r="H951" s="16" t="str">
        <x:v>06/2026</x:v>
      </x:c>
      <x:c r="I951" s="40" t="n">
        <x:v>1033.2</x:v>
      </x:c>
      <x:c r="J951" s="40" t="n">
        <x:v>1077.74</x:v>
      </x:c>
      <x:c r="K951" s="16" t="str">
        <x:v>Novo</x:v>
      </x:c>
      <x:c r="L951" s="16" t="str">
        <x:v>Em aberto</x:v>
      </x:c>
      <x:c r="M951" s="16" t="str">
        <x:v>049b72d7-3fe9-4570-8fb5-b6775ece9178</x:v>
      </x:c>
      <x:c r="N951" s="41" t="str"/>
    </x:row>
    <x:row r="952">
      <x:c r="A952" s="37" t="str">
        <x:f>"000153"</x:f>
        <x:v>000153</x:v>
      </x:c>
      <x:c r="B952" s="38" t="str">
        <x:f>"0"</x:f>
        <x:v>0</x:v>
      </x:c>
      <x:c r="C952" s="38" t="str">
        <x:v>FERNANDA NERI SILVA MUTERLE</x:v>
      </x:c>
      <x:c r="D952" s="38" t="str">
        <x:f>""</x:f>
      </x:c>
      <x:c r="E952" s="38" t="str">
        <x:f>""</x:f>
      </x:c>
      <x:c r="F952" s="38" t="str"/>
      <x:c r="G952" s="39" t="n">
        <x:v>46032</x:v>
      </x:c>
      <x:c r="H952" s="16" t="str">
        <x:v>01/2026</x:v>
      </x:c>
      <x:c r="I952" s="40" t="n">
        <x:v>1414.43</x:v>
      </x:c>
      <x:c r="J952" s="40" t="n">
        <x:v>1579.72</x:v>
      </x:c>
      <x:c r="K952" s="16" t="str">
        <x:v>Novo</x:v>
      </x:c>
      <x:c r="L952" s="16" t="str">
        <x:v>Em aberto</x:v>
      </x:c>
      <x:c r="M952" s="16" t="str">
        <x:v>26a9ca80-befc-47d1-bb64-e1a7517ee532</x:v>
      </x:c>
      <x:c r="N952" s="41" t="str"/>
    </x:row>
    <x:row r="953">
      <x:c r="A953" s="37" t="str">
        <x:f>"000153"</x:f>
        <x:v>000153</x:v>
      </x:c>
      <x:c r="B953" s="38" t="str">
        <x:f>"0"</x:f>
        <x:v>0</x:v>
      </x:c>
      <x:c r="C953" s="38" t="str">
        <x:v>FERNANDA NERI SILVA MUTERLE</x:v>
      </x:c>
      <x:c r="D953" s="38" t="str">
        <x:f>""</x:f>
      </x:c>
      <x:c r="E953" s="38" t="str">
        <x:f>""</x:f>
      </x:c>
      <x:c r="F953" s="38" t="str"/>
      <x:c r="G953" s="39" t="n">
        <x:v>46063</x:v>
      </x:c>
      <x:c r="H953" s="16" t="str">
        <x:v>02/2026</x:v>
      </x:c>
      <x:c r="I953" s="40" t="n">
        <x:v>1125.88</x:v>
      </x:c>
      <x:c r="J953" s="40" t="n">
        <x:v>1240.63</x:v>
      </x:c>
      <x:c r="K953" s="16" t="str">
        <x:v>Novo</x:v>
      </x:c>
      <x:c r="L953" s="16" t="str">
        <x:v>Em aberto</x:v>
      </x:c>
      <x:c r="M953" s="16" t="str">
        <x:v>3cd9ca8c-0a96-4d96-9094-77ef54b2c060</x:v>
      </x:c>
      <x:c r="N953" s="41" t="str"/>
    </x:row>
    <x:row r="954">
      <x:c r="A954" s="37" t="str">
        <x:f>"000154"</x:f>
        <x:v>000154</x:v>
      </x:c>
      <x:c r="B954" s="38" t="str">
        <x:f>"0"</x:f>
        <x:v>0</x:v>
      </x:c>
      <x:c r="C954" s="38" t="str">
        <x:v>REGINA PAULA FILIE</x:v>
      </x:c>
      <x:c r="D954" s="38" t="str">
        <x:f>"11488633894"</x:f>
        <x:v>11488633894</x:v>
      </x:c>
      <x:c r="E954" s="38" t="str">
        <x:f>"58511786"</x:f>
        <x:v>58511786</x:v>
      </x:c>
      <x:c r="F954" s="38" t="str"/>
      <x:c r="G954" s="39" t="n">
        <x:v>46152</x:v>
      </x:c>
      <x:c r="H954" s="16" t="str">
        <x:v>05/2026</x:v>
      </x:c>
      <x:c r="I954" s="40" t="n">
        <x:v>1044.64</x:v>
      </x:c>
      <x:c r="J954" s="40" t="n">
        <x:v>1100.34</x:v>
      </x:c>
      <x:c r="K954" s="16" t="str">
        <x:v>Novo</x:v>
      </x:c>
      <x:c r="L954" s="16" t="str">
        <x:v>Em aberto</x:v>
      </x:c>
      <x:c r="M954" s="16" t="str">
        <x:v>a406a604-c338-4461-a7ab-f60e184c73db</x:v>
      </x:c>
      <x:c r="N954" s="41" t="str"/>
    </x:row>
    <x:row r="955">
      <x:c r="A955" s="42" t="str">
        <x:f>"000154"</x:f>
        <x:v>000154</x:v>
      </x:c>
      <x:c r="B955" s="43" t="str">
        <x:f>"0"</x:f>
        <x:v>0</x:v>
      </x:c>
      <x:c r="C955" s="43" t="str">
        <x:v>REGINA PAULA FILIE</x:v>
      </x:c>
      <x:c r="D955" s="43" t="str">
        <x:f>"11488633894"</x:f>
        <x:v>11488633894</x:v>
      </x:c>
      <x:c r="E955" s="43" t="str">
        <x:f>"58511786"</x:f>
        <x:v>58511786</x:v>
      </x:c>
      <x:c r="F955" s="43" t="str"/>
      <x:c r="G955" s="44" t="n">
        <x:v>46183</x:v>
      </x:c>
      <x:c r="H955" s="20" t="str">
        <x:v>06/2026</x:v>
      </x:c>
      <x:c r="I955" s="45" t="n">
        <x:v>1043.76</x:v>
      </x:c>
      <x:c r="J955" s="45" t="n">
        <x:v>1088.78</x:v>
      </x:c>
      <x:c r="K955" s="20" t="str">
        <x:v>Novo</x:v>
      </x:c>
      <x:c r="L955" s="20" t="str">
        <x:v>Em aberto</x:v>
      </x:c>
      <x:c r="M955" s="20" t="str">
        <x:v>fd8aa697-1850-43c3-a4b0-c473ac342791</x:v>
      </x:c>
      <x:c r="N955" s="46" t="str"/>
    </x:row>
    <x:row r="956">
      <x:c r="A956" s="47" t="str">
        <x:v>Subtotal</x:v>
      </x:c>
      <x:c r="B956" s="47" t="str"/>
      <x:c r="C956" s="47" t="str"/>
      <x:c r="D956" s="47" t="str"/>
      <x:c r="E956" s="47" t="str"/>
      <x:c r="F956" s="47" t="str"/>
      <x:c r="G956" s="47" t="str"/>
      <x:c r="H956" s="47" t="str"/>
      <x:c r="I956" s="47" t="str"/>
      <x:c r="J956" s="48" t="n">
        <x:v>37937.18</x:v>
      </x:c>
      <x:c r="K956" s="47" t="str">
        <x:v>32 novas</x:v>
      </x:c>
      <x:c r="L956" s="47" t="str">
        <x:v>0 ativas</x:v>
      </x:c>
      <x:c r="M956" s="47" t="str"/>
      <x:c r="N956" s="47" t="str"/>
    </x:row>
    <x:row r="958">
      <x:c r="A958" s="26" t="str">
        <x:v>CONDOMÍNIO VILLA LOBOS OFFICE PARK</x:v>
      </x:c>
      <x:c r="B958" s="26"/>
      <x:c r="C958" s="26"/>
      <x:c r="D958" s="26"/>
      <x:c r="E958" s="26"/>
      <x:c r="F958" s="26"/>
      <x:c r="G958" s="26"/>
      <x:c r="H958" s="26"/>
      <x:c r="I958" s="26"/>
      <x:c r="J958" s="26"/>
      <x:c r="K958" s="26"/>
      <x:c r="L958" s="26"/>
      <x:c r="M958" s="26"/>
      <x:c r="N958" s="26"/>
    </x:row>
    <x:row r="959">
      <x:c r="A959" s="28" t="str">
        <x:v>CNPJ</x:v>
      </x:c>
      <x:c r="B959" s="28" t="str">
        <x:v>13.190.286/0001-67</x:v>
      </x:c>
      <x:c r="C959" s="28"/>
      <x:c r="D959" s="28" t="str">
        <x:v>Dia de vencimento</x:v>
      </x:c>
      <x:c r="E959" s="28" t="n">
        <x:v>10</x:v>
      </x:c>
      <x:c r="F959" s="28" t="str">
        <x:v>Régua</x:v>
      </x:c>
      <x:c r="G959" s="28" t="str">
        <x:v>D+60 · pré-jurídico em D+90</x:v>
      </x:c>
      <x:c r="H959" s="28"/>
      <x:c r="I959" s="28"/>
      <x:c r="J959" s="28"/>
      <x:c r="K959" s="28"/>
      <x:c r="L959" s="28"/>
      <x:c r="M959" s="28"/>
      <x:c r="N959" s="28"/>
    </x:row>
    <x:row r="960">
      <x:c r="A960" s="9" t="str">
        <x:v>Unidade</x:v>
      </x:c>
      <x:c r="B960" s="9" t="str">
        <x:v>Bloco</x:v>
      </x:c>
      <x:c r="C960" s="9" t="str">
        <x:v>Responsável</x:v>
      </x:c>
      <x:c r="D960" s="9" t="str">
        <x:v>Documento</x:v>
      </x:c>
      <x:c r="E960" s="9" t="str">
        <x:v>Telefone</x:v>
      </x:c>
      <x:c r="F960" s="9" t="str">
        <x:v>E-mail</x:v>
      </x:c>
      <x:c r="G960" s="9" t="str">
        <x:v>Vencimento</x:v>
      </x:c>
      <x:c r="H960" s="9" t="str">
        <x:v>Competência</x:v>
      </x:c>
      <x:c r="I960" s="9" t="str">
        <x:v>Valor original</x:v>
      </x:c>
      <x:c r="J960" s="9" t="str">
        <x:v>Valor atualizado</x:v>
      </x:c>
      <x:c r="K960" s="9" t="str">
        <x:v>Status operacional</x:v>
      </x:c>
      <x:c r="L960" s="9" t="str">
        <x:v>Status financeiro</x:v>
      </x:c>
      <x:c r="M960" s="9" t="str">
        <x:v>ID cobrança</x:v>
      </x:c>
      <x:c r="N960" s="9" t="str">
        <x:v>Observação</x:v>
      </x:c>
    </x:row>
    <x:row r="961">
      <x:c r="A961" s="31" t="str">
        <x:f>"000011"</x:f>
        <x:v>000011</x:v>
      </x:c>
      <x:c r="B961" s="32" t="str">
        <x:f>"e"</x:f>
        <x:v>e</x:v>
      </x:c>
      <x:c r="C961" s="32" t="str">
        <x:v>ALEXANDRE PENAYO</x:v>
      </x:c>
      <x:c r="D961" s="32" t="str">
        <x:f>""</x:f>
      </x:c>
      <x:c r="E961" s="32" t="str">
        <x:f>""</x:f>
      </x:c>
      <x:c r="F961" s="32" t="str"/>
      <x:c r="G961" s="33" t="n">
        <x:v>46086</x:v>
      </x:c>
      <x:c r="H961" s="34" t="str">
        <x:v>03/2026</x:v>
      </x:c>
      <x:c r="I961" s="35" t="n">
        <x:v>953.19</x:v>
      </x:c>
      <x:c r="J961" s="35" t="n">
        <x:v>1045.47</x:v>
      </x:c>
      <x:c r="K961" s="34" t="str">
        <x:v>Novo</x:v>
      </x:c>
      <x:c r="L961" s="34" t="str">
        <x:v>Em aberto</x:v>
      </x:c>
      <x:c r="M961" s="34" t="str">
        <x:v>18ffccd7-70bd-4605-8466-dbe0c803276d</x:v>
      </x:c>
      <x:c r="N961" s="36" t="str"/>
    </x:row>
    <x:row r="962">
      <x:c r="A962" s="37" t="str">
        <x:f>"000011"</x:f>
        <x:v>000011</x:v>
      </x:c>
      <x:c r="B962" s="38" t="str">
        <x:f>"e"</x:f>
        <x:v>e</x:v>
      </x:c>
      <x:c r="C962" s="38" t="str">
        <x:v>ALEXANDRE PENAYO</x:v>
      </x:c>
      <x:c r="D962" s="38" t="str">
        <x:f>""</x:f>
      </x:c>
      <x:c r="E962" s="38" t="str">
        <x:f>""</x:f>
      </x:c>
      <x:c r="F962" s="38" t="str"/>
      <x:c r="G962" s="39" t="n">
        <x:v>46117</x:v>
      </x:c>
      <x:c r="H962" s="16" t="str">
        <x:v>04/2026</x:v>
      </x:c>
      <x:c r="I962" s="40" t="n">
        <x:v>960.99</x:v>
      </x:c>
      <x:c r="J962" s="40" t="n">
        <x:v>1038.57</x:v>
      </x:c>
      <x:c r="K962" s="16" t="str">
        <x:v>Novo</x:v>
      </x:c>
      <x:c r="L962" s="16" t="str">
        <x:v>Em aberto</x:v>
      </x:c>
      <x:c r="M962" s="16" t="str">
        <x:v>e65f6f74-9a7a-41ad-8883-48192e03a10e</x:v>
      </x:c>
      <x:c r="N962" s="41" t="str"/>
    </x:row>
    <x:row r="963">
      <x:c r="A963" s="37" t="str">
        <x:f>"000013"</x:f>
        <x:v>000013</x:v>
      </x:c>
      <x:c r="B963" s="38" t="str">
        <x:f>"B"</x:f>
        <x:v>B</x:v>
      </x:c>
      <x:c r="C963" s="38" t="str">
        <x:v>MAURICIO GUITARRARI GERALDO</x:v>
      </x:c>
      <x:c r="D963" s="38" t="str">
        <x:f>"18475898807"</x:f>
        <x:v>18475898807</x:v>
      </x:c>
      <x:c r="E963" s="38" t="str">
        <x:f>"11996791601"</x:f>
        <x:v>11996791601</x:v>
      </x:c>
      <x:c r="F963" s="38" t="str">
        <x:v>financeiromgg02@gmail.com</x:v>
      </x:c>
      <x:c r="G963" s="39" t="n">
        <x:v>46117</x:v>
      </x:c>
      <x:c r="H963" s="16" t="str">
        <x:v>04/2026</x:v>
      </x:c>
      <x:c r="I963" s="40" t="n">
        <x:v>1035.92</x:v>
      </x:c>
      <x:c r="J963" s="40" t="n">
        <x:v>1119.55</x:v>
      </x:c>
      <x:c r="K963" s="16" t="str">
        <x:v>Novo</x:v>
      </x:c>
      <x:c r="L963" s="16" t="str">
        <x:v>Em aberto</x:v>
      </x:c>
      <x:c r="M963" s="16" t="str">
        <x:v>fb42d777-cde8-4a70-b560-96325d857b9d</x:v>
      </x:c>
      <x:c r="N963" s="41" t="str"/>
    </x:row>
    <x:row r="964">
      <x:c r="A964" s="37" t="str">
        <x:f>"000013"</x:f>
        <x:v>000013</x:v>
      </x:c>
      <x:c r="B964" s="38" t="str">
        <x:f>"B"</x:f>
        <x:v>B</x:v>
      </x:c>
      <x:c r="C964" s="38" t="str">
        <x:v>MAURICIO GUITARRARI GERALDO</x:v>
      </x:c>
      <x:c r="D964" s="38" t="str">
        <x:f>"18475898807"</x:f>
        <x:v>18475898807</x:v>
      </x:c>
      <x:c r="E964" s="38" t="str">
        <x:f>"11996791601"</x:f>
        <x:v>11996791601</x:v>
      </x:c>
      <x:c r="F964" s="38" t="str">
        <x:v>financeiromgg02@gmail.com</x:v>
      </x:c>
      <x:c r="G964" s="39" t="n">
        <x:v>46178</x:v>
      </x:c>
      <x:c r="H964" s="16" t="str">
        <x:v>06/2026</x:v>
      </x:c>
      <x:c r="I964" s="40" t="n">
        <x:v>1019.6</x:v>
      </x:c>
      <x:c r="J964" s="40" t="n">
        <x:v>1060.78</x:v>
      </x:c>
      <x:c r="K964" s="16" t="str">
        <x:v>Novo</x:v>
      </x:c>
      <x:c r="L964" s="16" t="str">
        <x:v>Em aberto</x:v>
      </x:c>
      <x:c r="M964" s="16" t="str">
        <x:v>a6bd8661-e471-4793-abe2-39aa793ee8d5</x:v>
      </x:c>
      <x:c r="N964" s="41" t="str"/>
    </x:row>
    <x:row r="965">
      <x:c r="A965" s="37" t="str">
        <x:f>"000043"</x:f>
        <x:v>000043</x:v>
      </x:c>
      <x:c r="B965" s="38" t="str">
        <x:f>"BUSS"</x:f>
        <x:v>BUSS</x:v>
      </x:c>
      <x:c r="C965" s="38" t="str">
        <x:v>INTELIGENCIA DE NEGOCIOS SISTEMAS E</x:v>
      </x:c>
      <x:c r="D965" s="38" t="str">
        <x:f>""</x:f>
      </x:c>
      <x:c r="E965" s="38" t="str">
        <x:f>""</x:f>
      </x:c>
      <x:c r="F965" s="38" t="str"/>
      <x:c r="G965" s="39" t="n">
        <x:v>46137</x:v>
      </x:c>
      <x:c r="H965" s="16" t="str">
        <x:v>04/2026</x:v>
      </x:c>
      <x:c r="I965" s="40" t="n">
        <x:v>5376.25</x:v>
      </x:c>
      <x:c r="J965" s="40" t="n">
        <x:v>5810.31</x:v>
      </x:c>
      <x:c r="K965" s="16" t="str">
        <x:v>Novo</x:v>
      </x:c>
      <x:c r="L965" s="16" t="str">
        <x:v>Em aberto</x:v>
      </x:c>
      <x:c r="M965" s="16" t="str">
        <x:v>7e3d3e9c-08d9-40b0-9cea-f143b723f5ff</x:v>
      </x:c>
      <x:c r="N965" s="41" t="str"/>
    </x:row>
    <x:row r="966">
      <x:c r="A966" s="37" t="str">
        <x:f>"000102"</x:f>
        <x:v>000102</x:v>
      </x:c>
      <x:c r="B966" s="38" t="str">
        <x:f>"A"</x:f>
        <x:v>A</x:v>
      </x:c>
      <x:c r="C966" s="38" t="str">
        <x:v>YABUTA- ADM E LOC DE IMOVEIS LTDA</x:v>
      </x:c>
      <x:c r="D966" s="38" t="str">
        <x:f>"05827843000180"</x:f>
        <x:v>05827843000180</x:v>
      </x:c>
      <x:c r="E966" s="38" t="str">
        <x:f>"35127400"</x:f>
        <x:v>35127400</x:v>
      </x:c>
      <x:c r="F966" s="38" t="str">
        <x:v>ana.beatriz@fnpatrimonial.com.br</x:v>
      </x:c>
      <x:c r="G966" s="39" t="n">
        <x:v>46117</x:v>
      </x:c>
      <x:c r="H966" s="16" t="str">
        <x:v>04/2026</x:v>
      </x:c>
      <x:c r="I966" s="40" t="n">
        <x:v>1932.97</x:v>
      </x:c>
      <x:c r="J966" s="40" t="n">
        <x:v>2089.03</x:v>
      </x:c>
      <x:c r="K966" s="16" t="str">
        <x:v>Novo</x:v>
      </x:c>
      <x:c r="L966" s="16" t="str">
        <x:v>Em aberto</x:v>
      </x:c>
      <x:c r="M966" s="16" t="str">
        <x:v>4bf77bd1-b060-4267-b457-abacc15d8ada</x:v>
      </x:c>
      <x:c r="N966" s="41" t="str"/>
    </x:row>
    <x:row r="967">
      <x:c r="A967" s="37" t="str">
        <x:f>"000105"</x:f>
        <x:v>000105</x:v>
      </x:c>
      <x:c r="B967" s="38" t="str">
        <x:f>"C"</x:f>
        <x:v>C</x:v>
      </x:c>
      <x:c r="C967" s="38" t="str">
        <x:v>CARLOS FERNANDO CAVALCANTE COSTA</x:v>
      </x:c>
      <x:c r="D967" s="38" t="str">
        <x:f>"09298676883"</x:f>
        <x:v>09298676883</x:v>
      </x:c>
      <x:c r="E967" s="38" t="str">
        <x:f>"11981813855"</x:f>
        <x:v>11981813855</x:v>
      </x:c>
      <x:c r="F967" s="38" t="str">
        <x:v>financeiro@simbioseimoveis.com.br</x:v>
      </x:c>
      <x:c r="G967" s="39" t="n">
        <x:v>46027</x:v>
      </x:c>
      <x:c r="H967" s="16" t="str">
        <x:v>01/2026</x:v>
      </x:c>
      <x:c r="I967" s="40" t="n">
        <x:v>829.99</x:v>
      </x:c>
      <x:c r="J967" s="40" t="n">
        <x:v>924.67</x:v>
      </x:c>
      <x:c r="K967" s="16" t="str">
        <x:v>Novo</x:v>
      </x:c>
      <x:c r="L967" s="16" t="str">
        <x:v>Em aberto</x:v>
      </x:c>
      <x:c r="M967" s="16" t="str">
        <x:v>15ec8fc6-699f-44be-8ad9-023655d9faaa</x:v>
      </x:c>
      <x:c r="N967" s="41" t="str"/>
    </x:row>
    <x:row r="968">
      <x:c r="A968" s="37" t="str">
        <x:f>"000105"</x:f>
        <x:v>000105</x:v>
      </x:c>
      <x:c r="B968" s="38" t="str">
        <x:f>"C"</x:f>
        <x:v>C</x:v>
      </x:c>
      <x:c r="C968" s="38" t="str">
        <x:v>CARLOS FERNANDO CAVALCANTE COSTA</x:v>
      </x:c>
      <x:c r="D968" s="38" t="str">
        <x:f>"09298676883"</x:f>
        <x:v>09298676883</x:v>
      </x:c>
      <x:c r="E968" s="38" t="str">
        <x:f>"11981813855"</x:f>
        <x:v>11981813855</x:v>
      </x:c>
      <x:c r="F968" s="38" t="str">
        <x:v>financeiro@simbioseimoveis.com.br</x:v>
      </x:c>
      <x:c r="G968" s="39" t="n">
        <x:v>46086</x:v>
      </x:c>
      <x:c r="H968" s="16" t="str">
        <x:v>03/2026</x:v>
      </x:c>
      <x:c r="I968" s="40" t="n">
        <x:v>835.54</x:v>
      </x:c>
      <x:c r="J968" s="40" t="n">
        <x:v>916.44</x:v>
      </x:c>
      <x:c r="K968" s="16" t="str">
        <x:v>Novo</x:v>
      </x:c>
      <x:c r="L968" s="16" t="str">
        <x:v>Em aberto</x:v>
      </x:c>
      <x:c r="M968" s="16" t="str">
        <x:v>b7573fd3-f277-4338-81ed-468b13e77cd9</x:v>
      </x:c>
      <x:c r="N968" s="41" t="str"/>
    </x:row>
    <x:row r="969">
      <x:c r="A969" s="37" t="str">
        <x:f>"000105"</x:f>
        <x:v>000105</x:v>
      </x:c>
      <x:c r="B969" s="38" t="str">
        <x:f>"C"</x:f>
        <x:v>C</x:v>
      </x:c>
      <x:c r="C969" s="38" t="str">
        <x:v>CARLOS FERNANDO CAVALCANTE COSTA</x:v>
      </x:c>
      <x:c r="D969" s="38" t="str">
        <x:f>"09298676883"</x:f>
        <x:v>09298676883</x:v>
      </x:c>
      <x:c r="E969" s="38" t="str">
        <x:f>"11981813855"</x:f>
        <x:v>11981813855</x:v>
      </x:c>
      <x:c r="F969" s="38" t="str">
        <x:v>financeiro@simbioseimoveis.com.br</x:v>
      </x:c>
      <x:c r="G969" s="39" t="n">
        <x:v>46147</x:v>
      </x:c>
      <x:c r="H969" s="16" t="str">
        <x:v>05/2026</x:v>
      </x:c>
      <x:c r="I969" s="40" t="n">
        <x:v>825.26</x:v>
      </x:c>
      <x:c r="J969" s="40" t="n">
        <x:v>867.02</x:v>
      </x:c>
      <x:c r="K969" s="16" t="str">
        <x:v>Novo</x:v>
      </x:c>
      <x:c r="L969" s="16" t="str">
        <x:v>Em aberto</x:v>
      </x:c>
      <x:c r="M969" s="16" t="str">
        <x:v>08444371-70f7-459a-8225-c74e552afe80</x:v>
      </x:c>
      <x:c r="N969" s="41" t="str"/>
    </x:row>
    <x:row r="970">
      <x:c r="A970" s="37" t="str">
        <x:f>"000105"</x:f>
        <x:v>000105</x:v>
      </x:c>
      <x:c r="B970" s="38" t="str">
        <x:f>"C"</x:f>
        <x:v>C</x:v>
      </x:c>
      <x:c r="C970" s="38" t="str">
        <x:v>CARLOS FERNANDO CAVALCANTE COSTA</x:v>
      </x:c>
      <x:c r="D970" s="38" t="str">
        <x:f>"09298676883"</x:f>
        <x:v>09298676883</x:v>
      </x:c>
      <x:c r="E970" s="38" t="str">
        <x:f>"11981813855"</x:f>
        <x:v>11981813855</x:v>
      </x:c>
      <x:c r="F970" s="38" t="str">
        <x:v>financeiro@simbioseimoveis.com.br</x:v>
      </x:c>
      <x:c r="G970" s="39" t="n">
        <x:v>46178</x:v>
      </x:c>
      <x:c r="H970" s="16" t="str">
        <x:v>06/2026</x:v>
      </x:c>
      <x:c r="I970" s="40" t="n">
        <x:v>829.5</x:v>
      </x:c>
      <x:c r="J970" s="40" t="n">
        <x:v>863.02</x:v>
      </x:c>
      <x:c r="K970" s="16" t="str">
        <x:v>Novo</x:v>
      </x:c>
      <x:c r="L970" s="16" t="str">
        <x:v>Em aberto</x:v>
      </x:c>
      <x:c r="M970" s="16" t="str">
        <x:v>0f30a990-51a8-4303-a457-4c6e9a2f7895</x:v>
      </x:c>
      <x:c r="N970" s="41" t="str"/>
    </x:row>
    <x:row r="971">
      <x:c r="A971" s="37" t="str">
        <x:f>"000110"</x:f>
        <x:v>000110</x:v>
      </x:c>
      <x:c r="B971" s="38" t="str">
        <x:f>"C"</x:f>
        <x:v>C</x:v>
      </x:c>
      <x:c r="C971" s="38" t="str">
        <x:v>GLAUCIA MARIA LAULETTA FRASCINO</x:v>
      </x:c>
      <x:c r="D971" s="38" t="str">
        <x:f>"12554856800"</x:f>
        <x:v>12554856800</x:v>
      </x:c>
      <x:c r="E971" s="38" t="str">
        <x:f>"38425210"</x:f>
        <x:v>38425210</x:v>
      </x:c>
      <x:c r="F971" s="38" t="str">
        <x:v>cyrillo@rbogroup.com.br</x:v>
      </x:c>
      <x:c r="G971" s="39" t="n">
        <x:v>46178</x:v>
      </x:c>
      <x:c r="H971" s="16" t="str">
        <x:v>06/2026</x:v>
      </x:c>
      <x:c r="I971" s="40" t="n">
        <x:v>818.92</x:v>
      </x:c>
      <x:c r="J971" s="40" t="n">
        <x:v>852.01</x:v>
      </x:c>
      <x:c r="K971" s="16" t="str">
        <x:v>Novo</x:v>
      </x:c>
      <x:c r="L971" s="16" t="str">
        <x:v>Em aberto</x:v>
      </x:c>
      <x:c r="M971" s="16" t="str">
        <x:v>69684eb9-dc09-45e4-bc88-adeee7804c22</x:v>
      </x:c>
      <x:c r="N971" s="41" t="str"/>
    </x:row>
    <x:row r="972">
      <x:c r="A972" s="37" t="str">
        <x:f>"000199"</x:f>
        <x:v>000199</x:v>
      </x:c>
      <x:c r="B972" s="38" t="str">
        <x:f>"BUSS"</x:f>
        <x:v>BUSS</x:v>
      </x:c>
      <x:c r="C972" s="38" t="str">
        <x:v>RESOLV FACILITIES SERV DE LIMP LTDA</x:v>
      </x:c>
      <x:c r="D972" s="38" t="str">
        <x:f>""</x:f>
      </x:c>
      <x:c r="E972" s="38" t="str">
        <x:f>""</x:f>
      </x:c>
      <x:c r="F972" s="38" t="str"/>
      <x:c r="G972" s="39" t="n">
        <x:v>46078</x:v>
      </x:c>
      <x:c r="H972" s="16" t="str">
        <x:v>02/2026</x:v>
      </x:c>
      <x:c r="I972" s="40" t="n">
        <x:v>992</x:v>
      </x:c>
      <x:c r="J972" s="40" t="n">
        <x:v>1090.37</x:v>
      </x:c>
      <x:c r="K972" s="16" t="str">
        <x:v>Novo</x:v>
      </x:c>
      <x:c r="L972" s="16" t="str">
        <x:v>Em aberto</x:v>
      </x:c>
      <x:c r="M972" s="16" t="str">
        <x:v>354acd95-0135-4b47-8051-0db63921b9be</x:v>
      </x:c>
      <x:c r="N972" s="41" t="str"/>
    </x:row>
    <x:row r="973">
      <x:c r="A973" s="37" t="str">
        <x:f>"000208"</x:f>
        <x:v>000208</x:v>
      </x:c>
      <x:c r="B973" s="38" t="str">
        <x:f>"C"</x:f>
        <x:v>C</x:v>
      </x:c>
      <x:c r="C973" s="38" t="str">
        <x:v>AGA DALMASSO PATRIMONIAL LTDA</x:v>
      </x:c>
      <x:c r="D973" s="38" t="str">
        <x:f>"60612377000123"</x:f>
        <x:v>60612377000123</x:v>
      </x:c>
      <x:c r="E973" s="38" t="str">
        <x:f>"11943752554"</x:f>
        <x:v>11943752554</x:v>
      </x:c>
      <x:c r="F973" s="38" t="str">
        <x:v>andersondal28@gmail.com</x:v>
      </x:c>
      <x:c r="G973" s="39" t="n">
        <x:v>46086</x:v>
      </x:c>
      <x:c r="H973" s="16" t="str">
        <x:v>03/2026</x:v>
      </x:c>
      <x:c r="I973" s="40" t="n">
        <x:v>822.87</x:v>
      </x:c>
      <x:c r="J973" s="40" t="n">
        <x:v>902.53</x:v>
      </x:c>
      <x:c r="K973" s="16" t="str">
        <x:v>Novo</x:v>
      </x:c>
      <x:c r="L973" s="16" t="str">
        <x:v>Em aberto</x:v>
      </x:c>
      <x:c r="M973" s="16" t="str">
        <x:v>bc06a631-8ae0-4eb6-a662-738ff2f558bb</x:v>
      </x:c>
      <x:c r="N973" s="41" t="str"/>
    </x:row>
    <x:row r="974">
      <x:c r="A974" s="37" t="str">
        <x:f>"000208"</x:f>
        <x:v>000208</x:v>
      </x:c>
      <x:c r="B974" s="38" t="str">
        <x:f>"C"</x:f>
        <x:v>C</x:v>
      </x:c>
      <x:c r="C974" s="38" t="str">
        <x:v>AGA DALMASSO PATRIMONIAL LTDA</x:v>
      </x:c>
      <x:c r="D974" s="38" t="str">
        <x:f>"60612377000123"</x:f>
        <x:v>60612377000123</x:v>
      </x:c>
      <x:c r="E974" s="38" t="str">
        <x:f>"11943752554"</x:f>
        <x:v>11943752554</x:v>
      </x:c>
      <x:c r="F974" s="38" t="str">
        <x:v>andersondal28@gmail.com</x:v>
      </x:c>
      <x:c r="G974" s="39" t="n">
        <x:v>46117</x:v>
      </x:c>
      <x:c r="H974" s="16" t="str">
        <x:v>04/2026</x:v>
      </x:c>
      <x:c r="I974" s="40" t="n">
        <x:v>829.1</x:v>
      </x:c>
      <x:c r="J974" s="40" t="n">
        <x:v>896.04</x:v>
      </x:c>
      <x:c r="K974" s="16" t="str">
        <x:v>Novo</x:v>
      </x:c>
      <x:c r="L974" s="16" t="str">
        <x:v>Em aberto</x:v>
      </x:c>
      <x:c r="M974" s="16" t="str">
        <x:v>99c6770c-73d9-4afd-a5dc-4e5f35c78f7d</x:v>
      </x:c>
      <x:c r="N974" s="41" t="str"/>
    </x:row>
    <x:row r="975">
      <x:c r="A975" s="37" t="str">
        <x:f>"000208"</x:f>
        <x:v>000208</x:v>
      </x:c>
      <x:c r="B975" s="38" t="str">
        <x:f>"C"</x:f>
        <x:v>C</x:v>
      </x:c>
      <x:c r="C975" s="38" t="str">
        <x:v>AGA DALMASSO PATRIMONIAL LTDA</x:v>
      </x:c>
      <x:c r="D975" s="38" t="str">
        <x:f>"60612377000123"</x:f>
        <x:v>60612377000123</x:v>
      </x:c>
      <x:c r="E975" s="38" t="str">
        <x:f>"11943752554"</x:f>
        <x:v>11943752554</x:v>
      </x:c>
      <x:c r="F975" s="38" t="str">
        <x:v>andersondal28@gmail.com</x:v>
      </x:c>
      <x:c r="G975" s="39" t="n">
        <x:v>46147</x:v>
      </x:c>
      <x:c r="H975" s="16" t="str">
        <x:v>05/2026</x:v>
      </x:c>
      <x:c r="I975" s="40" t="n">
        <x:v>812.78</x:v>
      </x:c>
      <x:c r="J975" s="40" t="n">
        <x:v>853.91</x:v>
      </x:c>
      <x:c r="K975" s="16" t="str">
        <x:v>Novo</x:v>
      </x:c>
      <x:c r="L975" s="16" t="str">
        <x:v>Em aberto</x:v>
      </x:c>
      <x:c r="M975" s="16" t="str">
        <x:v>e84bef87-cb01-425e-9e8a-6ace5f546fe9</x:v>
      </x:c>
      <x:c r="N975" s="41" t="str"/>
    </x:row>
    <x:row r="976">
      <x:c r="A976" s="37" t="str">
        <x:f>"000208"</x:f>
        <x:v>000208</x:v>
      </x:c>
      <x:c r="B976" s="38" t="str">
        <x:f>"C"</x:f>
        <x:v>C</x:v>
      </x:c>
      <x:c r="C976" s="38" t="str">
        <x:v>AGA DALMASSO PATRIMONIAL LTDA</x:v>
      </x:c>
      <x:c r="D976" s="38" t="str">
        <x:f>"60612377000123"</x:f>
        <x:v>60612377000123</x:v>
      </x:c>
      <x:c r="E976" s="38" t="str">
        <x:f>"11943752554"</x:f>
        <x:v>11943752554</x:v>
      </x:c>
      <x:c r="F976" s="38" t="str">
        <x:v>andersondal28@gmail.com</x:v>
      </x:c>
      <x:c r="G976" s="39" t="n">
        <x:v>46178</x:v>
      </x:c>
      <x:c r="H976" s="16" t="str">
        <x:v>06/2026</x:v>
      </x:c>
      <x:c r="I976" s="40" t="n">
        <x:v>816.94</x:v>
      </x:c>
      <x:c r="J976" s="40" t="n">
        <x:v>849.94</x:v>
      </x:c>
      <x:c r="K976" s="16" t="str">
        <x:v>Novo</x:v>
      </x:c>
      <x:c r="L976" s="16" t="str">
        <x:v>Em aberto</x:v>
      </x:c>
      <x:c r="M976" s="16" t="str">
        <x:v>13dbf040-fa2a-448a-85b3-b96bebfd0842</x:v>
      </x:c>
      <x:c r="N976" s="41" t="str"/>
    </x:row>
    <x:row r="977">
      <x:c r="A977" s="37" t="str">
        <x:f>"000273"</x:f>
        <x:v>000273</x:v>
      </x:c>
      <x:c r="B977" s="38" t="str">
        <x:f>"BUSS"</x:f>
        <x:v>BUSS</x:v>
      </x:c>
      <x:c r="C977" s="38" t="str">
        <x:v>MOVIMENTO CONSTRUCAO SAUDAVEL</x:v>
      </x:c>
      <x:c r="D977" s="38" t="str">
        <x:f>"40312255000104"</x:f>
        <x:v>40312255000104</x:v>
      </x:c>
      <x:c r="E977" s="38" t="str">
        <x:f>""</x:f>
      </x:c>
      <x:c r="F977" s="38" t="str">
        <x:v>contato@construcaosaudavel.org</x:v>
      </x:c>
      <x:c r="G977" s="39" t="n">
        <x:v>46137</x:v>
      </x:c>
      <x:c r="H977" s="16" t="str">
        <x:v>04/2026</x:v>
      </x:c>
      <x:c r="I977" s="40" t="n">
        <x:v>391</x:v>
      </x:c>
      <x:c r="J977" s="40" t="n">
        <x:v>422.56</x:v>
      </x:c>
      <x:c r="K977" s="16" t="str">
        <x:v>Novo</x:v>
      </x:c>
      <x:c r="L977" s="16" t="str">
        <x:v>Em aberto</x:v>
      </x:c>
      <x:c r="M977" s="16" t="str">
        <x:v>50688585-e5e7-49c0-82fa-da9b3578026a</x:v>
      </x:c>
      <x:c r="N977" s="41" t="str"/>
    </x:row>
    <x:row r="978">
      <x:c r="A978" s="37" t="str">
        <x:f>"000281"</x:f>
        <x:v>000281</x:v>
      </x:c>
      <x:c r="B978" s="38" t="str">
        <x:f>"BUSS"</x:f>
        <x:v>BUSS</x:v>
      </x:c>
      <x:c r="C978" s="38" t="str">
        <x:v>CLARA CLOUD SOLUTIONS TECNOLOGIA</x:v>
      </x:c>
      <x:c r="D978" s="38" t="str">
        <x:f>""</x:f>
      </x:c>
      <x:c r="E978" s="38" t="str">
        <x:f>""</x:f>
      </x:c>
      <x:c r="F978" s="38" t="str"/>
      <x:c r="G978" s="39" t="n">
        <x:v>46167</x:v>
      </x:c>
      <x:c r="H978" s="16" t="str">
        <x:v>05/2026</x:v>
      </x:c>
      <x:c r="I978" s="40" t="n">
        <x:v>391</x:v>
      </x:c>
      <x:c r="J978" s="40" t="n">
        <x:v>410.78</x:v>
      </x:c>
      <x:c r="K978" s="16" t="str">
        <x:v>Novo</x:v>
      </x:c>
      <x:c r="L978" s="16" t="str">
        <x:v>Em aberto</x:v>
      </x:c>
      <x:c r="M978" s="16" t="str">
        <x:v>0fa4977b-3ab8-4529-acfe-422652194fa3</x:v>
      </x:c>
      <x:c r="N978" s="41" t="str"/>
    </x:row>
    <x:row r="979">
      <x:c r="A979" s="37" t="str">
        <x:f>"000292"</x:f>
        <x:v>000292</x:v>
      </x:c>
      <x:c r="B979" s="38" t="str">
        <x:f>"BUSS"</x:f>
        <x:v>BUSS</x:v>
      </x:c>
      <x:c r="C979" s="38" t="str">
        <x:v>RBLU Creative Group Ltda</x:v>
      </x:c>
      <x:c r="D979" s="38" t="str">
        <x:f>""</x:f>
      </x:c>
      <x:c r="E979" s="38" t="str">
        <x:f>""</x:f>
      </x:c>
      <x:c r="F979" s="38" t="str"/>
      <x:c r="G979" s="39" t="n">
        <x:v>46167</x:v>
      </x:c>
      <x:c r="H979" s="16" t="str">
        <x:v>05/2026</x:v>
      </x:c>
      <x:c r="I979" s="40" t="n">
        <x:v>211.02</x:v>
      </x:c>
      <x:c r="J979" s="40" t="n">
        <x:v>221.7</x:v>
      </x:c>
      <x:c r="K979" s="16" t="str">
        <x:v>Novo</x:v>
      </x:c>
      <x:c r="L979" s="16" t="str">
        <x:v>Em aberto</x:v>
      </x:c>
      <x:c r="M979" s="16" t="str">
        <x:v>492e6ccb-b8a6-4d9c-9612-f42b7979e66e</x:v>
      </x:c>
      <x:c r="N979" s="41" t="str"/>
    </x:row>
    <x:row r="980">
      <x:c r="A980" s="37" t="str">
        <x:f>"000358"</x:f>
        <x:v>000358</x:v>
      </x:c>
      <x:c r="B980" s="38" t="str">
        <x:f>"BUSS"</x:f>
        <x:v>BUSS</x:v>
      </x:c>
      <x:c r="C980" s="38" t="str">
        <x:v>AGA DALMASSO PATRIMONIAL LTDA</x:v>
      </x:c>
      <x:c r="D980" s="38" t="str">
        <x:f>"60612377000123"</x:f>
        <x:v>60612377000123</x:v>
      </x:c>
      <x:c r="E980" s="38" t="str">
        <x:f>""</x:f>
      </x:c>
      <x:c r="F980" s="38" t="str">
        <x:v>andersondal28@gmail.com</x:v>
      </x:c>
      <x:c r="G980" s="39" t="n">
        <x:v>46106</x:v>
      </x:c>
      <x:c r="H980" s="16" t="str">
        <x:v>03/2026</x:v>
      </x:c>
      <x:c r="I980" s="40" t="n">
        <x:v>258</x:v>
      </x:c>
      <x:c r="J980" s="40" t="n">
        <x:v>282.98</x:v>
      </x:c>
      <x:c r="K980" s="16" t="str">
        <x:v>Novo</x:v>
      </x:c>
      <x:c r="L980" s="16" t="str">
        <x:v>Em aberto</x:v>
      </x:c>
      <x:c r="M980" s="16" t="str">
        <x:v>c8a01b67-1125-42b2-a5bd-6cf65195fdd8</x:v>
      </x:c>
      <x:c r="N980" s="41" t="str"/>
    </x:row>
    <x:row r="981">
      <x:c r="A981" s="37" t="str">
        <x:f>"000374"</x:f>
        <x:v>000374</x:v>
      </x:c>
      <x:c r="B981" s="38" t="str">
        <x:f>"BUSS"</x:f>
        <x:v>BUSS</x:v>
      </x:c>
      <x:c r="C981" s="38" t="str">
        <x:v>GUARD CENTER TECNOLOGIA EM SEGURANÇ</x:v>
      </x:c>
      <x:c r="D981" s="38" t="str">
        <x:f>""</x:f>
      </x:c>
      <x:c r="E981" s="38" t="str">
        <x:f>""</x:f>
      </x:c>
      <x:c r="F981" s="38" t="str"/>
      <x:c r="G981" s="39" t="n">
        <x:v>46078</x:v>
      </x:c>
      <x:c r="H981" s="16" t="str">
        <x:v>02/2026</x:v>
      </x:c>
      <x:c r="I981" s="40" t="n">
        <x:v>1725</x:v>
      </x:c>
      <x:c r="J981" s="40" t="n">
        <x:v>1896.06</x:v>
      </x:c>
      <x:c r="K981" s="16" t="str">
        <x:v>Novo</x:v>
      </x:c>
      <x:c r="L981" s="16" t="str">
        <x:v>Em aberto</x:v>
      </x:c>
      <x:c r="M981" s="16" t="str">
        <x:v>c714b863-a0b6-456d-82eb-66383f86dbad</x:v>
      </x:c>
      <x:c r="N981" s="41" t="str"/>
    </x:row>
    <x:row r="982">
      <x:c r="A982" s="37" t="str">
        <x:f>"000376"</x:f>
        <x:v>000376</x:v>
      </x:c>
      <x:c r="B982" s="38" t="str">
        <x:f>"BUSS"</x:f>
        <x:v>BUSS</x:v>
      </x:c>
      <x:c r="C982" s="38" t="str">
        <x:v>Etcetera Digital Lab Ltda</x:v>
      </x:c>
      <x:c r="D982" s="38" t="str">
        <x:f>""</x:f>
      </x:c>
      <x:c r="E982" s="38" t="str">
        <x:f>""</x:f>
      </x:c>
      <x:c r="F982" s="38" t="str"/>
      <x:c r="G982" s="39" t="n">
        <x:v>46137</x:v>
      </x:c>
      <x:c r="H982" s="16" t="str">
        <x:v>04/2026</x:v>
      </x:c>
      <x:c r="I982" s="40" t="n">
        <x:v>1257</x:v>
      </x:c>
      <x:c r="J982" s="40" t="n">
        <x:v>1358.49</x:v>
      </x:c>
      <x:c r="K982" s="16" t="str">
        <x:v>Novo</x:v>
      </x:c>
      <x:c r="L982" s="16" t="str">
        <x:v>Em aberto</x:v>
      </x:c>
      <x:c r="M982" s="16" t="str">
        <x:v>4e9bb4b0-7c56-4bb2-ae24-71b5316220f0</x:v>
      </x:c>
      <x:c r="N982" s="41" t="str"/>
    </x:row>
    <x:row r="983">
      <x:c r="A983" s="37" t="str">
        <x:f>"000402"</x:f>
        <x:v>000402</x:v>
      </x:c>
      <x:c r="B983" s="38" t="str">
        <x:f>"E"</x:f>
        <x:v>E</x:v>
      </x:c>
      <x:c r="C983" s="38" t="str">
        <x:v>GEORGE PAULUS PEREIRA DIAS</x:v>
      </x:c>
      <x:c r="D983" s="38" t="str">
        <x:f>"15220900889"</x:f>
        <x:v>15220900889</x:v>
      </x:c>
      <x:c r="E983" s="38" t="str">
        <x:f>"1132625111"</x:f>
        <x:v>1132625111</x:v>
      </x:c>
      <x:c r="F983" s="38" t="str">
        <x:v>camilla.honorato@vertty.com.br</x:v>
      </x:c>
      <x:c r="G983" s="39" t="n">
        <x:v>46178</x:v>
      </x:c>
      <x:c r="H983" s="16" t="str">
        <x:v>06/2026</x:v>
      </x:c>
      <x:c r="I983" s="40" t="n">
        <x:v>784.41</x:v>
      </x:c>
      <x:c r="J983" s="40" t="n">
        <x:v>816.09</x:v>
      </x:c>
      <x:c r="K983" s="16" t="str">
        <x:v>Novo</x:v>
      </x:c>
      <x:c r="L983" s="16" t="str">
        <x:v>Em aberto</x:v>
      </x:c>
      <x:c r="M983" s="16" t="str">
        <x:v>7df52f15-068f-47ea-ade1-b32275507a23</x:v>
      </x:c>
      <x:c r="N983" s="41" t="str"/>
    </x:row>
    <x:row r="984">
      <x:c r="A984" s="37" t="str">
        <x:f>"000406"</x:f>
        <x:v>000406</x:v>
      </x:c>
      <x:c r="B984" s="38" t="str">
        <x:f>"D"</x:f>
        <x:v>D</x:v>
      </x:c>
      <x:c r="C984" s="38" t="str">
        <x:v>UBIRAJARA SPESSOTTO CAMARGO FREITAS - A/C: VH ARQUITETURA &amp; DESIGN LTDA</x:v>
      </x:c>
      <x:c r="D984" s="38" t="str">
        <x:f>"03008636837"</x:f>
        <x:v>03008636837</x:v>
      </x:c>
      <x:c r="E984" s="38" t="str">
        <x:f>"1130834456"</x:f>
        <x:v>1130834456</x:v>
      </x:c>
      <x:c r="F984" s="38" t="str">
        <x:v>valeriahenriues@vharquitetura.com.br</x:v>
      </x:c>
      <x:c r="G984" s="39" t="n">
        <x:v>46178</x:v>
      </x:c>
      <x:c r="H984" s="16" t="str">
        <x:v>06/2026</x:v>
      </x:c>
      <x:c r="I984" s="40" t="n">
        <x:v>1012.15</x:v>
      </x:c>
      <x:c r="J984" s="40" t="n">
        <x:v>1053.03</x:v>
      </x:c>
      <x:c r="K984" s="16" t="str">
        <x:v>Novo</x:v>
      </x:c>
      <x:c r="L984" s="16" t="str">
        <x:v>Em aberto</x:v>
      </x:c>
      <x:c r="M984" s="16" t="str">
        <x:v>596553fa-7c4a-4a62-be88-f66b0d822fc2</x:v>
      </x:c>
      <x:c r="N984" s="41" t="str"/>
    </x:row>
    <x:row r="985">
      <x:c r="A985" s="37" t="str">
        <x:f>"000504"</x:f>
        <x:v>000504</x:v>
      </x:c>
      <x:c r="B985" s="38" t="str">
        <x:f>"B"</x:f>
        <x:v>B</x:v>
      </x:c>
      <x:c r="C985" s="38" t="str">
        <x:v>AGROINFORME REPRES. E COM. EIRELI</x:v>
      </x:c>
      <x:c r="D985" s="38" t="str">
        <x:f>""</x:f>
      </x:c>
      <x:c r="E985" s="38" t="str">
        <x:f>""</x:f>
      </x:c>
      <x:c r="F985" s="38" t="str"/>
      <x:c r="G985" s="39" t="n">
        <x:v>46058</x:v>
      </x:c>
      <x:c r="H985" s="16" t="str">
        <x:v>02/2026</x:v>
      </x:c>
      <x:c r="I985" s="40" t="n">
        <x:v>1001.34</x:v>
      </x:c>
      <x:c r="J985" s="40" t="n">
        <x:v>1100.64</x:v>
      </x:c>
      <x:c r="K985" s="16" t="str">
        <x:v>Novo</x:v>
      </x:c>
      <x:c r="L985" s="16" t="str">
        <x:v>Em aberto</x:v>
      </x:c>
      <x:c r="M985" s="16" t="str">
        <x:v>20a310f8-8e83-4e49-816c-949eb3bd6ab1</x:v>
      </x:c>
      <x:c r="N985" s="41" t="str"/>
    </x:row>
    <x:row r="986">
      <x:c r="A986" s="37" t="str">
        <x:f>"000504"</x:f>
        <x:v>000504</x:v>
      </x:c>
      <x:c r="B986" s="38" t="str">
        <x:f>"B"</x:f>
        <x:v>B</x:v>
      </x:c>
      <x:c r="C986" s="38" t="str">
        <x:v>AGROINFORME REPRES. E COM. EIRELI</x:v>
      </x:c>
      <x:c r="D986" s="38" t="str">
        <x:f>""</x:f>
      </x:c>
      <x:c r="E986" s="38" t="str">
        <x:f>""</x:f>
      </x:c>
      <x:c r="F986" s="38" t="str"/>
      <x:c r="G986" s="39" t="n">
        <x:v>46086</x:v>
      </x:c>
      <x:c r="H986" s="16" t="str">
        <x:v>03/2026</x:v>
      </x:c>
      <x:c r="I986" s="40" t="n">
        <x:v>1013.2</x:v>
      </x:c>
      <x:c r="J986" s="40" t="n">
        <x:v>1111.28</x:v>
      </x:c>
      <x:c r="K986" s="16" t="str">
        <x:v>Novo</x:v>
      </x:c>
      <x:c r="L986" s="16" t="str">
        <x:v>Em aberto</x:v>
      </x:c>
      <x:c r="M986" s="16" t="str">
        <x:v>1d6e3607-49c1-4f4c-84c2-339d70464555</x:v>
      </x:c>
      <x:c r="N986" s="41" t="str"/>
    </x:row>
    <x:row r="987">
      <x:c r="A987" s="37" t="str">
        <x:f>"000504"</x:f>
        <x:v>000504</x:v>
      </x:c>
      <x:c r="B987" s="38" t="str">
        <x:f>"B"</x:f>
        <x:v>B</x:v>
      </x:c>
      <x:c r="C987" s="38" t="str">
        <x:v>AGROINFORME REPRES. E COM. EIRELI</x:v>
      </x:c>
      <x:c r="D987" s="38" t="str">
        <x:f>""</x:f>
      </x:c>
      <x:c r="E987" s="38" t="str">
        <x:f>""</x:f>
      </x:c>
      <x:c r="F987" s="38" t="str"/>
      <x:c r="G987" s="39" t="n">
        <x:v>46117</x:v>
      </x:c>
      <x:c r="H987" s="16" t="str">
        <x:v>04/2026</x:v>
      </x:c>
      <x:c r="I987" s="40" t="n">
        <x:v>1021.41</x:v>
      </x:c>
      <x:c r="J987" s="40" t="n">
        <x:v>1103.88</x:v>
      </x:c>
      <x:c r="K987" s="16" t="str">
        <x:v>Novo</x:v>
      </x:c>
      <x:c r="L987" s="16" t="str">
        <x:v>Em aberto</x:v>
      </x:c>
      <x:c r="M987" s="16" t="str">
        <x:v>599c6515-47e7-4b01-ad3e-88fce08290c5</x:v>
      </x:c>
      <x:c r="N987" s="41" t="str"/>
    </x:row>
    <x:row r="988">
      <x:c r="A988" s="37" t="str">
        <x:f>"000507"</x:f>
        <x:v>000507</x:v>
      </x:c>
      <x:c r="B988" s="38" t="str">
        <x:f>"B"</x:f>
        <x:v>B</x:v>
      </x:c>
      <x:c r="C988" s="38" t="str">
        <x:v>LUIZ CARLOS LANZOTTI</x:v>
      </x:c>
      <x:c r="D988" s="38" t="str">
        <x:f>"79437311820"</x:f>
        <x:v>79437311820</x:v>
      </x:c>
      <x:c r="E988" s="38" t="str">
        <x:f>"1143025842"</x:f>
        <x:v>1143025842</x:v>
      </x:c>
      <x:c r="F988" s="38" t="str">
        <x:v>adm1@villalobosoffice.com.br</x:v>
      </x:c>
      <x:c r="G988" s="39" t="n">
        <x:v>46178</x:v>
      </x:c>
      <x:c r="H988" s="16" t="str">
        <x:v>06/2026</x:v>
      </x:c>
      <x:c r="I988" s="40" t="n">
        <x:v>782.15</x:v>
      </x:c>
      <x:c r="J988" s="40" t="n">
        <x:v>813.74</x:v>
      </x:c>
      <x:c r="K988" s="16" t="str">
        <x:v>Novo</x:v>
      </x:c>
      <x:c r="L988" s="16" t="str">
        <x:v>Em aberto</x:v>
      </x:c>
      <x:c r="M988" s="16" t="str">
        <x:v>4f458969-8d47-4655-8408-a8cf71da272d</x:v>
      </x:c>
      <x:c r="N988" s="41" t="str"/>
    </x:row>
    <x:row r="989">
      <x:c r="A989" s="37" t="str">
        <x:f>"000509"</x:f>
        <x:v>000509</x:v>
      </x:c>
      <x:c r="B989" s="38" t="str">
        <x:f>"C"</x:f>
        <x:v>C</x:v>
      </x:c>
      <x:c r="C989" s="38" t="str">
        <x:v>EVANDRO FABIANI CAPANO</x:v>
      </x:c>
      <x:c r="D989" s="38" t="str">
        <x:f>"12054790826"</x:f>
        <x:v>12054790826</x:v>
      </x:c>
      <x:c r="E989" s="38" t="str">
        <x:f>""</x:f>
      </x:c>
      <x:c r="F989" s="38" t="str">
        <x:v>adv.brunalago@gmail.com</x:v>
      </x:c>
      <x:c r="G989" s="39" t="n">
        <x:v>46178</x:v>
      </x:c>
      <x:c r="H989" s="16" t="str">
        <x:v>06/2026</x:v>
      </x:c>
      <x:c r="I989" s="40" t="n">
        <x:v>818.92</x:v>
      </x:c>
      <x:c r="J989" s="40" t="n">
        <x:v>852.01</x:v>
      </x:c>
      <x:c r="K989" s="16" t="str">
        <x:v>Novo</x:v>
      </x:c>
      <x:c r="L989" s="16" t="str">
        <x:v>Em aberto</x:v>
      </x:c>
      <x:c r="M989" s="16" t="str">
        <x:v>2ecce495-0e03-449c-854e-a2a6dbe8fc2a</x:v>
      </x:c>
      <x:c r="N989" s="41" t="str"/>
    </x:row>
    <x:row r="990">
      <x:c r="A990" s="37" t="str">
        <x:f>"000712"</x:f>
        <x:v>000712</x:v>
      </x:c>
      <x:c r="B990" s="38" t="str">
        <x:f>"E"</x:f>
        <x:v>E</x:v>
      </x:c>
      <x:c r="C990" s="38" t="str">
        <x:v>AVINASH SRIHAND</x:v>
      </x:c>
      <x:c r="D990" s="38" t="str">
        <x:f>"21851625860"</x:f>
        <x:v>21851625860</x:v>
      </x:c>
      <x:c r="E990" s="38" t="str">
        <x:f>"1143025842"</x:f>
        <x:v>1143025842</x:v>
      </x:c>
      <x:c r="F990" s="38" t="str">
        <x:v>latino@uol.com.br</x:v>
      </x:c>
      <x:c r="G990" s="39" t="n">
        <x:v>46027</x:v>
      </x:c>
      <x:c r="H990" s="16" t="str">
        <x:v>01/2026</x:v>
      </x:c>
      <x:c r="I990" s="40" t="n">
        <x:v>782.08</x:v>
      </x:c>
      <x:c r="J990" s="40" t="n">
        <x:v>871.29</x:v>
      </x:c>
      <x:c r="K990" s="16" t="str">
        <x:v>Novo</x:v>
      </x:c>
      <x:c r="L990" s="16" t="str">
        <x:v>Em aberto</x:v>
      </x:c>
      <x:c r="M990" s="16" t="str">
        <x:v>a00e23a9-de09-4323-9fc8-694fa01c02e9</x:v>
      </x:c>
      <x:c r="N990" s="41" t="str"/>
    </x:row>
    <x:row r="991">
      <x:c r="A991" s="37" t="str">
        <x:f>"000712"</x:f>
        <x:v>000712</x:v>
      </x:c>
      <x:c r="B991" s="38" t="str">
        <x:f>"E"</x:f>
        <x:v>E</x:v>
      </x:c>
      <x:c r="C991" s="38" t="str">
        <x:v>AVINASH SRIHAND</x:v>
      </x:c>
      <x:c r="D991" s="38" t="str">
        <x:f>"21851625860"</x:f>
        <x:v>21851625860</x:v>
      </x:c>
      <x:c r="E991" s="38" t="str">
        <x:f>"1143025842"</x:f>
        <x:v>1143025842</x:v>
      </x:c>
      <x:c r="F991" s="38" t="str">
        <x:v>latino@uol.com.br</x:v>
      </x:c>
      <x:c r="G991" s="39" t="n">
        <x:v>46058</x:v>
      </x:c>
      <x:c r="H991" s="16" t="str">
        <x:v>02/2026</x:v>
      </x:c>
      <x:c r="I991" s="40" t="n">
        <x:v>778.86</x:v>
      </x:c>
      <x:c r="J991" s="40" t="n">
        <x:v>856.1</x:v>
      </x:c>
      <x:c r="K991" s="16" t="str">
        <x:v>Novo</x:v>
      </x:c>
      <x:c r="L991" s="16" t="str">
        <x:v>Em aberto</x:v>
      </x:c>
      <x:c r="M991" s="16" t="str">
        <x:v>1711d700-755d-4112-b89b-af569418fe46</x:v>
      </x:c>
      <x:c r="N991" s="41" t="str"/>
    </x:row>
    <x:row r="992">
      <x:c r="A992" s="37" t="str">
        <x:f>"000712"</x:f>
        <x:v>000712</x:v>
      </x:c>
      <x:c r="B992" s="38" t="str">
        <x:f>"E"</x:f>
        <x:v>E</x:v>
      </x:c>
      <x:c r="C992" s="38" t="str">
        <x:v>AVINASH SRIHAND</x:v>
      </x:c>
      <x:c r="D992" s="38" t="str">
        <x:f>"21851625860"</x:f>
        <x:v>21851625860</x:v>
      </x:c>
      <x:c r="E992" s="38" t="str">
        <x:f>"1143025842"</x:f>
        <x:v>1143025842</x:v>
      </x:c>
      <x:c r="F992" s="38" t="str">
        <x:v>latino@uol.com.br</x:v>
      </x:c>
      <x:c r="G992" s="39" t="n">
        <x:v>46086</x:v>
      </x:c>
      <x:c r="H992" s="16" t="str">
        <x:v>03/2026</x:v>
      </x:c>
      <x:c r="I992" s="40" t="n">
        <x:v>787.75</x:v>
      </x:c>
      <x:c r="J992" s="40" t="n">
        <x:v>864.02</x:v>
      </x:c>
      <x:c r="K992" s="16" t="str">
        <x:v>Novo</x:v>
      </x:c>
      <x:c r="L992" s="16" t="str">
        <x:v>Em aberto</x:v>
      </x:c>
      <x:c r="M992" s="16" t="str">
        <x:v>98ff4180-282c-4f0c-93f0-cb29abcef623</x:v>
      </x:c>
      <x:c r="N992" s="41" t="str"/>
    </x:row>
    <x:row r="993">
      <x:c r="A993" s="37" t="str">
        <x:f>"000712"</x:f>
        <x:v>000712</x:v>
      </x:c>
      <x:c r="B993" s="38" t="str">
        <x:f>"E"</x:f>
        <x:v>E</x:v>
      </x:c>
      <x:c r="C993" s="38" t="str">
        <x:v>AVINASH SRIHAND</x:v>
      </x:c>
      <x:c r="D993" s="38" t="str">
        <x:f>"21851625860"</x:f>
        <x:v>21851625860</x:v>
      </x:c>
      <x:c r="E993" s="38" t="str">
        <x:f>"1143025842"</x:f>
        <x:v>1143025842</x:v>
      </x:c>
      <x:c r="F993" s="38" t="str">
        <x:v>latino@uol.com.br</x:v>
      </x:c>
      <x:c r="G993" s="39" t="n">
        <x:v>46117</x:v>
      </x:c>
      <x:c r="H993" s="16" t="str">
        <x:v>04/2026</x:v>
      </x:c>
      <x:c r="I993" s="40" t="n">
        <x:v>793.9</x:v>
      </x:c>
      <x:c r="J993" s="40" t="n">
        <x:v>857.99</x:v>
      </x:c>
      <x:c r="K993" s="16" t="str">
        <x:v>Novo</x:v>
      </x:c>
      <x:c r="L993" s="16" t="str">
        <x:v>Em aberto</x:v>
      </x:c>
      <x:c r="M993" s="16" t="str">
        <x:v>34bd9382-8177-4129-8d5a-c480425dded1</x:v>
      </x:c>
      <x:c r="N993" s="41" t="str"/>
    </x:row>
    <x:row r="994">
      <x:c r="A994" s="37" t="str">
        <x:f>"000712"</x:f>
        <x:v>000712</x:v>
      </x:c>
      <x:c r="B994" s="38" t="str">
        <x:f>"E"</x:f>
        <x:v>E</x:v>
      </x:c>
      <x:c r="C994" s="38" t="str">
        <x:v>AVINASH SRIHAND</x:v>
      </x:c>
      <x:c r="D994" s="38" t="str">
        <x:f>"21851625860"</x:f>
        <x:v>21851625860</x:v>
      </x:c>
      <x:c r="E994" s="38" t="str">
        <x:f>"1143025842"</x:f>
        <x:v>1143025842</x:v>
      </x:c>
      <x:c r="F994" s="38" t="str">
        <x:v>latino@uol.com.br</x:v>
      </x:c>
      <x:c r="G994" s="39" t="n">
        <x:v>46147</x:v>
      </x:c>
      <x:c r="H994" s="16" t="str">
        <x:v>05/2026</x:v>
      </x:c>
      <x:c r="I994" s="40" t="n">
        <x:v>777.77</x:v>
      </x:c>
      <x:c r="J994" s="40" t="n">
        <x:v>817.13</x:v>
      </x:c>
      <x:c r="K994" s="16" t="str">
        <x:v>Novo</x:v>
      </x:c>
      <x:c r="L994" s="16" t="str">
        <x:v>Em aberto</x:v>
      </x:c>
      <x:c r="M994" s="16" t="str">
        <x:v>06fffa9c-077e-4053-b46f-26919a24d154</x:v>
      </x:c>
      <x:c r="N994" s="41" t="str"/>
    </x:row>
    <x:row r="995">
      <x:c r="A995" s="37" t="str">
        <x:f>"000712"</x:f>
        <x:v>000712</x:v>
      </x:c>
      <x:c r="B995" s="38" t="str">
        <x:f>"E"</x:f>
        <x:v>E</x:v>
      </x:c>
      <x:c r="C995" s="38" t="str">
        <x:v>AVINASH SRIHAND</x:v>
      </x:c>
      <x:c r="D995" s="38" t="str">
        <x:f>"21851625860"</x:f>
        <x:v>21851625860</x:v>
      </x:c>
      <x:c r="E995" s="38" t="str">
        <x:f>"1143025842"</x:f>
        <x:v>1143025842</x:v>
      </x:c>
      <x:c r="F995" s="38" t="str">
        <x:v>latino@uol.com.br</x:v>
      </x:c>
      <x:c r="G995" s="39" t="n">
        <x:v>46178</x:v>
      </x:c>
      <x:c r="H995" s="16" t="str">
        <x:v>06/2026</x:v>
      </x:c>
      <x:c r="I995" s="40" t="n">
        <x:v>781.88</x:v>
      </x:c>
      <x:c r="J995" s="40" t="n">
        <x:v>813.46</x:v>
      </x:c>
      <x:c r="K995" s="16" t="str">
        <x:v>Novo</x:v>
      </x:c>
      <x:c r="L995" s="16" t="str">
        <x:v>Em aberto</x:v>
      </x:c>
      <x:c r="M995" s="16" t="str">
        <x:v>d19b8f1b-440c-4d70-ae43-bbcd21a9c670</x:v>
      </x:c>
      <x:c r="N995" s="41" t="str"/>
    </x:row>
    <x:row r="996">
      <x:c r="A996" s="37" t="str">
        <x:f>"000912"</x:f>
        <x:v>000912</x:v>
      </x:c>
      <x:c r="B996" s="38" t="str">
        <x:f>"D"</x:f>
        <x:v>D</x:v>
      </x:c>
      <x:c r="C996" s="38" t="str">
        <x:v>WILSON SANTOS GUZZON</x:v>
      </x:c>
      <x:c r="D996" s="38" t="str">
        <x:f>"25576263847"</x:f>
        <x:v>25576263847</x:v>
      </x:c>
      <x:c r="E996" s="38" t="str">
        <x:f>"11988505531"</x:f>
        <x:v>11988505531</x:v>
      </x:c>
      <x:c r="F996" s="38" t="str">
        <x:v>seyzano@yahoo.com.br</x:v>
      </x:c>
      <x:c r="G996" s="39" t="n">
        <x:v>46058</x:v>
      </x:c>
      <x:c r="H996" s="16" t="str">
        <x:v>02/2026</x:v>
      </x:c>
      <x:c r="I996" s="40" t="n">
        <x:v>637.75</x:v>
      </x:c>
      <x:c r="J996" s="40" t="n">
        <x:v>700.99</x:v>
      </x:c>
      <x:c r="K996" s="16" t="str">
        <x:v>Novo</x:v>
      </x:c>
      <x:c r="L996" s="16" t="str">
        <x:v>Em aberto</x:v>
      </x:c>
      <x:c r="M996" s="16" t="str">
        <x:v>5cec9097-457c-452f-84de-2b94314299f8</x:v>
      </x:c>
      <x:c r="N996" s="41" t="str"/>
    </x:row>
    <x:row r="997">
      <x:c r="A997" s="37" t="str">
        <x:f>"000912"</x:f>
        <x:v>000912</x:v>
      </x:c>
      <x:c r="B997" s="38" t="str">
        <x:f>"D"</x:f>
        <x:v>D</x:v>
      </x:c>
      <x:c r="C997" s="38" t="str">
        <x:v>WILSON SANTOS GUZZON</x:v>
      </x:c>
      <x:c r="D997" s="38" t="str">
        <x:f>"25576263847"</x:f>
        <x:v>25576263847</x:v>
      </x:c>
      <x:c r="E997" s="38" t="str">
        <x:f>"11988505531"</x:f>
        <x:v>11988505531</x:v>
      </x:c>
      <x:c r="F997" s="38" t="str">
        <x:v>seyzano@yahoo.com.br</x:v>
      </x:c>
      <x:c r="G997" s="39" t="n">
        <x:v>46086</x:v>
      </x:c>
      <x:c r="H997" s="16" t="str">
        <x:v>03/2026</x:v>
      </x:c>
      <x:c r="I997" s="40" t="n">
        <x:v>644.47</x:v>
      </x:c>
      <x:c r="J997" s="40" t="n">
        <x:v>706.86</x:v>
      </x:c>
      <x:c r="K997" s="16" t="str">
        <x:v>Novo</x:v>
      </x:c>
      <x:c r="L997" s="16" t="str">
        <x:v>Em aberto</x:v>
      </x:c>
      <x:c r="M997" s="16" t="str">
        <x:v>31f5991a-2d59-4977-9343-f5dc6c16bda4</x:v>
      </x:c>
      <x:c r="N997" s="41" t="str"/>
    </x:row>
    <x:row r="998">
      <x:c r="A998" s="37" t="str">
        <x:f>"000912"</x:f>
        <x:v>000912</x:v>
      </x:c>
      <x:c r="B998" s="38" t="str">
        <x:f>"D"</x:f>
        <x:v>D</x:v>
      </x:c>
      <x:c r="C998" s="38" t="str">
        <x:v>WILSON SANTOS GUZZON</x:v>
      </x:c>
      <x:c r="D998" s="38" t="str">
        <x:f>"25576263847"</x:f>
        <x:v>25576263847</x:v>
      </x:c>
      <x:c r="E998" s="38" t="str">
        <x:f>"11988505531"</x:f>
        <x:v>11988505531</x:v>
      </x:c>
      <x:c r="F998" s="38" t="str">
        <x:v>seyzano@yahoo.com.br</x:v>
      </x:c>
      <x:c r="G998" s="39" t="n">
        <x:v>46117</x:v>
      </x:c>
      <x:c r="H998" s="16" t="str">
        <x:v>04/2026</x:v>
      </x:c>
      <x:c r="I998" s="40" t="n">
        <x:v>649.12</x:v>
      </x:c>
      <x:c r="J998" s="40" t="n">
        <x:v>701.53</x:v>
      </x:c>
      <x:c r="K998" s="16" t="str">
        <x:v>Novo</x:v>
      </x:c>
      <x:c r="L998" s="16" t="str">
        <x:v>Em aberto</x:v>
      </x:c>
      <x:c r="M998" s="16" t="str">
        <x:v>54d62d40-7dc1-45b7-a5df-f6b5bcc92263</x:v>
      </x:c>
      <x:c r="N998" s="41" t="str"/>
    </x:row>
    <x:row r="999">
      <x:c r="A999" s="37" t="str">
        <x:f>"000912"</x:f>
        <x:v>000912</x:v>
      </x:c>
      <x:c r="B999" s="38" t="str">
        <x:f>"D"</x:f>
        <x:v>D</x:v>
      </x:c>
      <x:c r="C999" s="38" t="str">
        <x:v>WILSON SANTOS GUZZON</x:v>
      </x:c>
      <x:c r="D999" s="38" t="str">
        <x:f>"25576263847"</x:f>
        <x:v>25576263847</x:v>
      </x:c>
      <x:c r="E999" s="38" t="str">
        <x:f>"11988505531"</x:f>
        <x:v>11988505531</x:v>
      </x:c>
      <x:c r="F999" s="38" t="str">
        <x:v>seyzano@yahoo.com.br</x:v>
      </x:c>
      <x:c r="G999" s="39" t="n">
        <x:v>46147</x:v>
      </x:c>
      <x:c r="H999" s="16" t="str">
        <x:v>05/2026</x:v>
      </x:c>
      <x:c r="I999" s="40" t="n">
        <x:v>636.93</x:v>
      </x:c>
      <x:c r="J999" s="40" t="n">
        <x:v>669.15</x:v>
      </x:c>
      <x:c r="K999" s="16" t="str">
        <x:v>Novo</x:v>
      </x:c>
      <x:c r="L999" s="16" t="str">
        <x:v>Em aberto</x:v>
      </x:c>
      <x:c r="M999" s="16" t="str">
        <x:v>8b003c97-196f-465e-8e2f-90eab3d3fb6d</x:v>
      </x:c>
      <x:c r="N999" s="41" t="str"/>
    </x:row>
    <x:row r="1000">
      <x:c r="A1000" s="37" t="str">
        <x:f>"000912"</x:f>
        <x:v>000912</x:v>
      </x:c>
      <x:c r="B1000" s="38" t="str">
        <x:f>"D"</x:f>
        <x:v>D</x:v>
      </x:c>
      <x:c r="C1000" s="38" t="str">
        <x:v>WILSON SANTOS GUZZON</x:v>
      </x:c>
      <x:c r="D1000" s="38" t="str">
        <x:f>"25576263847"</x:f>
        <x:v>25576263847</x:v>
      </x:c>
      <x:c r="E1000" s="38" t="str">
        <x:f>"11988505531"</x:f>
        <x:v>11988505531</x:v>
      </x:c>
      <x:c r="F1000" s="38" t="str">
        <x:v>seyzano@yahoo.com.br</x:v>
      </x:c>
      <x:c r="G1000" s="39" t="n">
        <x:v>46178</x:v>
      </x:c>
      <x:c r="H1000" s="16" t="str">
        <x:v>06/2026</x:v>
      </x:c>
      <x:c r="I1000" s="40" t="n">
        <x:v>640.03</x:v>
      </x:c>
      <x:c r="J1000" s="40" t="n">
        <x:v>665.89</x:v>
      </x:c>
      <x:c r="K1000" s="16" t="str">
        <x:v>Novo</x:v>
      </x:c>
      <x:c r="L1000" s="16" t="str">
        <x:v>Em aberto</x:v>
      </x:c>
      <x:c r="M1000" s="16" t="str">
        <x:v>5db4b66a-f118-4992-9ccb-0af94a23bab9</x:v>
      </x:c>
      <x:c r="N1000" s="41" t="str"/>
    </x:row>
    <x:row r="1001">
      <x:c r="A1001" s="37" t="str">
        <x:f>"BOX001"</x:f>
        <x:v>BOX001</x:v>
      </x:c>
      <x:c r="B1001" s="38" t="str">
        <x:f>"0"</x:f>
        <x:v>0</x:v>
      </x:c>
      <x:c r="C1001" s="38" t="str">
        <x:v>MARCO ANTONIO ENTREGAS RÁPIDAS LTDA</x:v>
      </x:c>
      <x:c r="D1001" s="38" t="str">
        <x:f>"56168978000111"</x:f>
        <x:v>56168978000111</x:v>
      </x:c>
      <x:c r="E1001" s="38" t="str">
        <x:f>""</x:f>
      </x:c>
      <x:c r="F1001" s="38" t="str">
        <x:v>financeiro.mftransportes@outlook.com</x:v>
      </x:c>
      <x:c r="G1001" s="39" t="n">
        <x:v>46106</x:v>
      </x:c>
      <x:c r="H1001" s="16" t="str">
        <x:v>03/2026</x:v>
      </x:c>
      <x:c r="I1001" s="40" t="n">
        <x:v>834.42</x:v>
      </x:c>
      <x:c r="J1001" s="40" t="n">
        <x:v>915.2</x:v>
      </x:c>
      <x:c r="K1001" s="16" t="str">
        <x:v>Novo</x:v>
      </x:c>
      <x:c r="L1001" s="16" t="str">
        <x:v>Em aberto</x:v>
      </x:c>
      <x:c r="M1001" s="16" t="str">
        <x:v>3bff689f-7ece-4f8f-a6d9-bdc69c11444e</x:v>
      </x:c>
      <x:c r="N1001" s="41" t="str"/>
    </x:row>
    <x:row r="1002">
      <x:c r="A1002" s="37" t="str">
        <x:f>"BOX001"</x:f>
        <x:v>BOX001</x:v>
      </x:c>
      <x:c r="B1002" s="38" t="str">
        <x:f>"0"</x:f>
        <x:v>0</x:v>
      </x:c>
      <x:c r="C1002" s="38" t="str">
        <x:v>MARCO ANTONIO ENTREGAS RÁPIDAS LTDA</x:v>
      </x:c>
      <x:c r="D1002" s="38" t="str">
        <x:f>"56168978000111"</x:f>
        <x:v>56168978000111</x:v>
      </x:c>
      <x:c r="E1002" s="38" t="str">
        <x:f>""</x:f>
      </x:c>
      <x:c r="F1002" s="38" t="str">
        <x:v>financeiro.mftransportes@outlook.com</x:v>
      </x:c>
      <x:c r="G1002" s="39" t="n">
        <x:v>46137</x:v>
      </x:c>
      <x:c r="H1002" s="16" t="str">
        <x:v>04/2026</x:v>
      </x:c>
      <x:c r="I1002" s="40" t="n">
        <x:v>835.42</x:v>
      </x:c>
      <x:c r="J1002" s="40" t="n">
        <x:v>902.87</x:v>
      </x:c>
      <x:c r="K1002" s="16" t="str">
        <x:v>Novo</x:v>
      </x:c>
      <x:c r="L1002" s="16" t="str">
        <x:v>Em aberto</x:v>
      </x:c>
      <x:c r="M1002" s="16" t="str">
        <x:v>82e95c48-7d5e-46f4-8dba-3bcad42a8c0f</x:v>
      </x:c>
      <x:c r="N1002" s="41" t="str"/>
    </x:row>
    <x:row r="1003">
      <x:c r="A1003" s="37" t="str">
        <x:f>"BOX005"</x:f>
        <x:v>BOX005</x:v>
      </x:c>
      <x:c r="B1003" s="38" t="str">
        <x:f>"0"</x:f>
        <x:v>0</x:v>
      </x:c>
      <x:c r="C1003" s="38" t="str">
        <x:v>FARATEC SERVIÇOS DE INFORMATICA</x:v>
      </x:c>
      <x:c r="D1003" s="38" t="str">
        <x:f>"24525101000144"</x:f>
        <x:v>24525101000144</x:v>
      </x:c>
      <x:c r="E1003" s="38" t="str">
        <x:f>""</x:f>
      </x:c>
      <x:c r="F1003" s="38" t="str">
        <x:v>faraone@faratec.com.br</x:v>
      </x:c>
      <x:c r="G1003" s="39" t="n">
        <x:v>46167</x:v>
      </x:c>
      <x:c r="H1003" s="16" t="str">
        <x:v>05/2026</x:v>
      </x:c>
      <x:c r="I1003" s="40" t="n">
        <x:v>868.03</x:v>
      </x:c>
      <x:c r="J1003" s="40" t="n">
        <x:v>911.95</x:v>
      </x:c>
      <x:c r="K1003" s="16" t="str">
        <x:v>Novo</x:v>
      </x:c>
      <x:c r="L1003" s="16" t="str">
        <x:v>Em aberto</x:v>
      </x:c>
      <x:c r="M1003" s="16" t="str">
        <x:v>f337cf85-3014-49ae-bd98-d50d5428ce79</x:v>
      </x:c>
      <x:c r="N1003" s="41" t="str"/>
    </x:row>
    <x:row r="1004">
      <x:c r="A1004" s="37" t="str">
        <x:f>"BOX006"</x:f>
        <x:v>BOX006</x:v>
      </x:c>
      <x:c r="B1004" s="38" t="str">
        <x:f>"0"</x:f>
        <x:v>0</x:v>
      </x:c>
      <x:c r="C1004" s="38" t="str">
        <x:v>FARATEC SERVIÇOS DE INFORMATICA</x:v>
      </x:c>
      <x:c r="D1004" s="38" t="str">
        <x:f>"24525101000144"</x:f>
        <x:v>24525101000144</x:v>
      </x:c>
      <x:c r="E1004" s="38" t="str">
        <x:f>""</x:f>
      </x:c>
      <x:c r="F1004" s="38" t="str">
        <x:v>faraone@faratec.com.br</x:v>
      </x:c>
      <x:c r="G1004" s="39" t="n">
        <x:v>46167</x:v>
      </x:c>
      <x:c r="H1004" s="16" t="str">
        <x:v>05/2026</x:v>
      </x:c>
      <x:c r="I1004" s="40" t="n">
        <x:v>1184.51</x:v>
      </x:c>
      <x:c r="J1004" s="40" t="n">
        <x:v>1244.45</x:v>
      </x:c>
      <x:c r="K1004" s="16" t="str">
        <x:v>Novo</x:v>
      </x:c>
      <x:c r="L1004" s="16" t="str">
        <x:v>Em aberto</x:v>
      </x:c>
      <x:c r="M1004" s="16" t="str">
        <x:v>ce1860c3-16ad-48c2-81d0-107d8f44e678</x:v>
      </x:c>
      <x:c r="N1004" s="41" t="str"/>
    </x:row>
    <x:row r="1005">
      <x:c r="A1005" s="37" t="str">
        <x:f>"BOX007"</x:f>
        <x:v>BOX007</x:v>
      </x:c>
      <x:c r="B1005" s="38" t="str">
        <x:f>"0"</x:f>
        <x:v>0</x:v>
      </x:c>
      <x:c r="C1005" s="38" t="str">
        <x:v>JOSE LUCIANO DO NASCIMENTO LTDA</x:v>
      </x:c>
      <x:c r="D1005" s="38" t="str">
        <x:f>"43303664000132"</x:f>
        <x:v>43303664000132</x:v>
      </x:c>
      <x:c r="E1005" s="38" t="str">
        <x:f>""</x:f>
      </x:c>
      <x:c r="F1005" s="38" t="str">
        <x:v>luciano33nascimentol@gmail.com</x:v>
      </x:c>
      <x:c r="G1005" s="39" t="n">
        <x:v>46047</x:v>
      </x:c>
      <x:c r="H1005" s="16" t="str">
        <x:v>01/2026</x:v>
      </x:c>
      <x:c r="I1005" s="40" t="n">
        <x:v>725.21</x:v>
      </x:c>
      <x:c r="J1005" s="40" t="n">
        <x:v>807.94</x:v>
      </x:c>
      <x:c r="K1005" s="16" t="str">
        <x:v>Novo</x:v>
      </x:c>
      <x:c r="L1005" s="16" t="str">
        <x:v>Em aberto</x:v>
      </x:c>
      <x:c r="M1005" s="16" t="str">
        <x:v>8d6e2ce0-6a39-4936-a194-12761bc59d7e</x:v>
      </x:c>
      <x:c r="N1005" s="41" t="str"/>
    </x:row>
    <x:row r="1006">
      <x:c r="A1006" s="37" t="str">
        <x:f>"BOX007"</x:f>
        <x:v>BOX007</x:v>
      </x:c>
      <x:c r="B1006" s="38" t="str">
        <x:f>"0"</x:f>
        <x:v>0</x:v>
      </x:c>
      <x:c r="C1006" s="38" t="str">
        <x:v>JOSE LUCIANO DO NASCIMENTO LTDA</x:v>
      </x:c>
      <x:c r="D1006" s="38" t="str">
        <x:f>"43303664000132"</x:f>
        <x:v>43303664000132</x:v>
      </x:c>
      <x:c r="E1006" s="38" t="str">
        <x:f>""</x:f>
      </x:c>
      <x:c r="F1006" s="38" t="str">
        <x:v>luciano33nascimentol@gmail.com</x:v>
      </x:c>
      <x:c r="G1006" s="39" t="n">
        <x:v>46078</x:v>
      </x:c>
      <x:c r="H1006" s="16" t="str">
        <x:v>02/2026</x:v>
      </x:c>
      <x:c r="I1006" s="40" t="n">
        <x:v>725.21</x:v>
      </x:c>
      <x:c r="J1006" s="40" t="n">
        <x:v>797.12</x:v>
      </x:c>
      <x:c r="K1006" s="16" t="str">
        <x:v>Novo</x:v>
      </x:c>
      <x:c r="L1006" s="16" t="str">
        <x:v>Em aberto</x:v>
      </x:c>
      <x:c r="M1006" s="16" t="str">
        <x:v>a20595ec-f32c-4601-a5a2-3bd6e6b14736</x:v>
      </x:c>
      <x:c r="N1006" s="41" t="str"/>
    </x:row>
    <x:row r="1007">
      <x:c r="A1007" s="37" t="str">
        <x:f>"BOX007"</x:f>
        <x:v>BOX007</x:v>
      </x:c>
      <x:c r="B1007" s="38" t="str">
        <x:f>"0"</x:f>
        <x:v>0</x:v>
      </x:c>
      <x:c r="C1007" s="38" t="str">
        <x:v>JOSE LUCIANO DO NASCIMENTO LTDA</x:v>
      </x:c>
      <x:c r="D1007" s="38" t="str">
        <x:f>"43303664000132"</x:f>
        <x:v>43303664000132</x:v>
      </x:c>
      <x:c r="E1007" s="38" t="str">
        <x:f>""</x:f>
      </x:c>
      <x:c r="F1007" s="38" t="str">
        <x:v>luciano33nascimentol@gmail.com</x:v>
      </x:c>
      <x:c r="G1007" s="39" t="n">
        <x:v>46137</x:v>
      </x:c>
      <x:c r="H1007" s="16" t="str">
        <x:v>04/2026</x:v>
      </x:c>
      <x:c r="I1007" s="40" t="n">
        <x:v>725.21</x:v>
      </x:c>
      <x:c r="J1007" s="40" t="n">
        <x:v>783.76</x:v>
      </x:c>
      <x:c r="K1007" s="16" t="str">
        <x:v>Novo</x:v>
      </x:c>
      <x:c r="L1007" s="16" t="str">
        <x:v>Em aberto</x:v>
      </x:c>
      <x:c r="M1007" s="16" t="str">
        <x:v>6ca016a9-2335-4705-81b1-a1bf7c2833e5</x:v>
      </x:c>
      <x:c r="N1007" s="41" t="str"/>
    </x:row>
    <x:row r="1008">
      <x:c r="A1008" s="37" t="str">
        <x:f>"BOX014"</x:f>
        <x:v>BOX014</x:v>
      </x:c>
      <x:c r="B1008" s="38" t="str">
        <x:f>"0"</x:f>
        <x:v>0</x:v>
      </x:c>
      <x:c r="C1008" s="38" t="str">
        <x:v>PRISCILA BRAGA BIANE</x:v>
      </x:c>
      <x:c r="D1008" s="38" t="str">
        <x:f>""</x:f>
      </x:c>
      <x:c r="E1008" s="38" t="str">
        <x:f>""</x:f>
      </x:c>
      <x:c r="F1008" s="38" t="str"/>
      <x:c r="G1008" s="39" t="n">
        <x:v>46106</x:v>
      </x:c>
      <x:c r="H1008" s="16" t="str">
        <x:v>03/2026</x:v>
      </x:c>
      <x:c r="I1008" s="40" t="n">
        <x:v>900</x:v>
      </x:c>
      <x:c r="J1008" s="40" t="n">
        <x:v>987.12</x:v>
      </x:c>
      <x:c r="K1008" s="16" t="str">
        <x:v>Novo</x:v>
      </x:c>
      <x:c r="L1008" s="16" t="str">
        <x:v>Em aberto</x:v>
      </x:c>
      <x:c r="M1008" s="16" t="str">
        <x:v>befcc722-cdaf-4b58-94b8-7666be5d51ca</x:v>
      </x:c>
      <x:c r="N1008" s="41" t="str"/>
    </x:row>
    <x:row r="1009">
      <x:c r="A1009" s="37" t="str">
        <x:f>"CE0014"</x:f>
        <x:v>CE0014</x:v>
      </x:c>
      <x:c r="B1009" s="38" t="str">
        <x:f>"0"</x:f>
        <x:v>0</x:v>
      </x:c>
      <x:c r="C1009" s="38" t="str">
        <x:v>ALGAR MULTIMIDIA S/A</x:v>
      </x:c>
      <x:c r="D1009" s="38" t="str">
        <x:f>""</x:f>
      </x:c>
      <x:c r="E1009" s="38" t="str">
        <x:f>""</x:f>
      </x:c>
      <x:c r="F1009" s="38" t="str"/>
      <x:c r="G1009" s="39" t="n">
        <x:v>46047</x:v>
      </x:c>
      <x:c r="H1009" s="16" t="str">
        <x:v>01/2026</x:v>
      </x:c>
      <x:c r="I1009" s="40" t="n">
        <x:v>3291.64</x:v>
      </x:c>
      <x:c r="J1009" s="40" t="n">
        <x:v>3667.15</x:v>
      </x:c>
      <x:c r="K1009" s="16" t="str">
        <x:v>Novo</x:v>
      </x:c>
      <x:c r="L1009" s="16" t="str">
        <x:v>Em aberto</x:v>
      </x:c>
      <x:c r="M1009" s="16" t="str">
        <x:v>874d802b-151a-4da6-b13a-a48dcda60138</x:v>
      </x:c>
      <x:c r="N1009" s="41" t="str"/>
    </x:row>
    <x:row r="1010">
      <x:c r="A1010" s="37" t="str">
        <x:f>"CE0014"</x:f>
        <x:v>CE0014</x:v>
      </x:c>
      <x:c r="B1010" s="38" t="str">
        <x:f>"0"</x:f>
        <x:v>0</x:v>
      </x:c>
      <x:c r="C1010" s="38" t="str">
        <x:v>ALGAR MULTIMIDIA S/A</x:v>
      </x:c>
      <x:c r="D1010" s="38" t="str">
        <x:f>""</x:f>
      </x:c>
      <x:c r="E1010" s="38" t="str">
        <x:f>""</x:f>
      </x:c>
      <x:c r="F1010" s="38" t="str"/>
      <x:c r="G1010" s="39" t="n">
        <x:v>46078</x:v>
      </x:c>
      <x:c r="H1010" s="16" t="str">
        <x:v>02/2026</x:v>
      </x:c>
      <x:c r="I1010" s="40" t="n">
        <x:v>3291.64</x:v>
      </x:c>
      <x:c r="J1010" s="40" t="n">
        <x:v>3618.05</x:v>
      </x:c>
      <x:c r="K1010" s="16" t="str">
        <x:v>Novo</x:v>
      </x:c>
      <x:c r="L1010" s="16" t="str">
        <x:v>Em aberto</x:v>
      </x:c>
      <x:c r="M1010" s="16" t="str">
        <x:v>c6c443cb-6da7-4ec2-9ef6-7ff127bf3b33</x:v>
      </x:c>
      <x:c r="N1010" s="41" t="str"/>
    </x:row>
    <x:row r="1011">
      <x:c r="A1011" s="37" t="str">
        <x:f>"CE0014"</x:f>
        <x:v>CE0014</x:v>
      </x:c>
      <x:c r="B1011" s="38" t="str">
        <x:f>"0"</x:f>
        <x:v>0</x:v>
      </x:c>
      <x:c r="C1011" s="38" t="str">
        <x:v>ALGAR MULTIMIDIA S/A</x:v>
      </x:c>
      <x:c r="D1011" s="38" t="str">
        <x:f>""</x:f>
      </x:c>
      <x:c r="E1011" s="38" t="str">
        <x:f>""</x:f>
      </x:c>
      <x:c r="F1011" s="38" t="str"/>
      <x:c r="G1011" s="39" t="n">
        <x:v>46106</x:v>
      </x:c>
      <x:c r="H1011" s="16" t="str">
        <x:v>03/2026</x:v>
      </x:c>
      <x:c r="I1011" s="40" t="n">
        <x:v>3291.64</x:v>
      </x:c>
      <x:c r="J1011" s="40" t="n">
        <x:v>3610.27</x:v>
      </x:c>
      <x:c r="K1011" s="16" t="str">
        <x:v>Novo</x:v>
      </x:c>
      <x:c r="L1011" s="16" t="str">
        <x:v>Em aberto</x:v>
      </x:c>
      <x:c r="M1011" s="16" t="str">
        <x:v>b177ca88-e5ea-4223-94a1-5adc714ad9eb</x:v>
      </x:c>
      <x:c r="N1011" s="41" t="str"/>
    </x:row>
    <x:row r="1012">
      <x:c r="A1012" s="37" t="str">
        <x:f>"CE0014"</x:f>
        <x:v>CE0014</x:v>
      </x:c>
      <x:c r="B1012" s="38" t="str">
        <x:f>"0"</x:f>
        <x:v>0</x:v>
      </x:c>
      <x:c r="C1012" s="38" t="str">
        <x:v>ALGAR MULTIMIDIA S/A</x:v>
      </x:c>
      <x:c r="D1012" s="38" t="str">
        <x:f>""</x:f>
      </x:c>
      <x:c r="E1012" s="38" t="str">
        <x:f>""</x:f>
      </x:c>
      <x:c r="F1012" s="38" t="str"/>
      <x:c r="G1012" s="39" t="n">
        <x:v>46137</x:v>
      </x:c>
      <x:c r="H1012" s="16" t="str">
        <x:v>04/2026</x:v>
      </x:c>
      <x:c r="I1012" s="40" t="n">
        <x:v>3291.64</x:v>
      </x:c>
      <x:c r="J1012" s="40" t="n">
        <x:v>3557.39</x:v>
      </x:c>
      <x:c r="K1012" s="16" t="str">
        <x:v>Novo</x:v>
      </x:c>
      <x:c r="L1012" s="16" t="str">
        <x:v>Em aberto</x:v>
      </x:c>
      <x:c r="M1012" s="16" t="str">
        <x:v>af23e703-dd83-4b32-bb42-d3e6e57afb83</x:v>
      </x:c>
      <x:c r="N1012" s="41" t="str"/>
    </x:row>
    <x:row r="1013">
      <x:c r="A1013" s="37" t="str">
        <x:f>"CE0014"</x:f>
        <x:v>CE0014</x:v>
      </x:c>
      <x:c r="B1013" s="38" t="str">
        <x:f>"0"</x:f>
        <x:v>0</x:v>
      </x:c>
      <x:c r="C1013" s="38" t="str">
        <x:v>ALGAR MULTIMIDIA S/A</x:v>
      </x:c>
      <x:c r="D1013" s="38" t="str">
        <x:f>""</x:f>
      </x:c>
      <x:c r="E1013" s="38" t="str">
        <x:f>""</x:f>
      </x:c>
      <x:c r="F1013" s="38" t="str"/>
      <x:c r="G1013" s="39" t="n">
        <x:v>46167</x:v>
      </x:c>
      <x:c r="H1013" s="16" t="str">
        <x:v>05/2026</x:v>
      </x:c>
      <x:c r="I1013" s="40" t="n">
        <x:v>3291.64</x:v>
      </x:c>
      <x:c r="J1013" s="40" t="n">
        <x:v>3458.19</x:v>
      </x:c>
      <x:c r="K1013" s="16" t="str">
        <x:v>Novo</x:v>
      </x:c>
      <x:c r="L1013" s="16" t="str">
        <x:v>Em aberto</x:v>
      </x:c>
      <x:c r="M1013" s="16" t="str">
        <x:v>144d7598-e7e7-466c-a564-05f9a7f3a728</x:v>
      </x:c>
      <x:c r="N1013" s="41" t="str"/>
    </x:row>
    <x:row r="1014">
      <x:c r="A1014" s="37" t="str">
        <x:f>"CE0027"</x:f>
        <x:v>CE0027</x:v>
      </x:c>
      <x:c r="B1014" s="38" t="str">
        <x:f>"0"</x:f>
        <x:v>0</x:v>
      </x:c>
      <x:c r="C1014" s="38" t="str">
        <x:v>DRIKA POCOPETES MARKET LTDA - A/C: ADRIANA P. F. BARBOSA - QUITANDINHA</x:v>
      </x:c>
      <x:c r="D1014" s="38" t="str">
        <x:f>"56431343000165"</x:f>
        <x:v>56431343000165</x:v>
      </x:c>
      <x:c r="E1014" s="38" t="str">
        <x:f>""</x:f>
      </x:c>
      <x:c r="F1014" s="38" t="str">
        <x:v>adriana.barbosa@minhaquitandinha.com.br</x:v>
      </x:c>
      <x:c r="G1014" s="39" t="n">
        <x:v>46078</x:v>
      </x:c>
      <x:c r="H1014" s="16" t="str">
        <x:v>02/2026</x:v>
      </x:c>
      <x:c r="I1014" s="40" t="n">
        <x:v>5421.75</x:v>
      </x:c>
      <x:c r="J1014" s="40" t="n">
        <x:v>5959.4</x:v>
      </x:c>
      <x:c r="K1014" s="16" t="str">
        <x:v>Novo</x:v>
      </x:c>
      <x:c r="L1014" s="16" t="str">
        <x:v>Em aberto</x:v>
      </x:c>
      <x:c r="M1014" s="16" t="str">
        <x:v>cb0c20f6-ab88-48a4-bc9a-4e95b3c07f04</x:v>
      </x:c>
      <x:c r="N1014" s="41" t="str"/>
    </x:row>
    <x:row r="1015">
      <x:c r="A1015" s="37" t="str">
        <x:f>"CE0027"</x:f>
        <x:v>CE0027</x:v>
      </x:c>
      <x:c r="B1015" s="38" t="str">
        <x:f>"0"</x:f>
        <x:v>0</x:v>
      </x:c>
      <x:c r="C1015" s="38" t="str">
        <x:v>DRIKA POCOPETES MARKET LTDA - A/C: ADRIANA P. F. BARBOSA - QUITANDINHA</x:v>
      </x:c>
      <x:c r="D1015" s="38" t="str">
        <x:f>"56431343000165"</x:f>
        <x:v>56431343000165</x:v>
      </x:c>
      <x:c r="E1015" s="38" t="str">
        <x:f>""</x:f>
      </x:c>
      <x:c r="F1015" s="38" t="str">
        <x:v>adriana.barbosa@minhaquitandinha.com.br</x:v>
      </x:c>
      <x:c r="G1015" s="39" t="n">
        <x:v>46137</x:v>
      </x:c>
      <x:c r="H1015" s="16" t="str">
        <x:v>04/2026</x:v>
      </x:c>
      <x:c r="I1015" s="40" t="n">
        <x:v>5421.75</x:v>
      </x:c>
      <x:c r="J1015" s="40" t="n">
        <x:v>5859.49</x:v>
      </x:c>
      <x:c r="K1015" s="16" t="str">
        <x:v>Novo</x:v>
      </x:c>
      <x:c r="L1015" s="16" t="str">
        <x:v>Em aberto</x:v>
      </x:c>
      <x:c r="M1015" s="16" t="str">
        <x:v>693d65dc-de91-4916-a70a-33ea73f0794e</x:v>
      </x:c>
      <x:c r="N1015" s="41" t="str"/>
    </x:row>
    <x:row r="1016">
      <x:c r="A1016" s="42" t="str">
        <x:f>"CE0027"</x:f>
        <x:v>CE0027</x:v>
      </x:c>
      <x:c r="B1016" s="43" t="str">
        <x:f>"0"</x:f>
        <x:v>0</x:v>
      </x:c>
      <x:c r="C1016" s="43" t="str">
        <x:v>DRIKA POCOPETES MARKET LTDA - A/C: ADRIANA P. F. BARBOSA - QUITANDINHA</x:v>
      </x:c>
      <x:c r="D1016" s="43" t="str">
        <x:f>"56431343000165"</x:f>
        <x:v>56431343000165</x:v>
      </x:c>
      <x:c r="E1016" s="43" t="str">
        <x:f>""</x:f>
      </x:c>
      <x:c r="F1016" s="43" t="str">
        <x:v>adriana.barbosa@minhaquitandinha.com.br</x:v>
      </x:c>
      <x:c r="G1016" s="44" t="n">
        <x:v>46167</x:v>
      </x:c>
      <x:c r="H1016" s="20" t="str">
        <x:v>05/2026</x:v>
      </x:c>
      <x:c r="I1016" s="45" t="n">
        <x:v>5421.75</x:v>
      </x:c>
      <x:c r="J1016" s="45" t="n">
        <x:v>5696.1</x:v>
      </x:c>
      <x:c r="K1016" s="20" t="str">
        <x:v>Novo</x:v>
      </x:c>
      <x:c r="L1016" s="20" t="str">
        <x:v>Em aberto</x:v>
      </x:c>
      <x:c r="M1016" s="20" t="str">
        <x:v>5b3b72e6-8fc5-4b14-8cf9-a4c91b944178</x:v>
      </x:c>
      <x:c r="N1016" s="46" t="str"/>
    </x:row>
    <x:row r="1017">
      <x:c r="A1017" s="47" t="str">
        <x:v>Subtotal</x:v>
      </x:c>
      <x:c r="B1017" s="47" t="str"/>
      <x:c r="C1017" s="47" t="str"/>
      <x:c r="D1017" s="47" t="str"/>
      <x:c r="E1017" s="47" t="str"/>
      <x:c r="F1017" s="47" t="str"/>
      <x:c r="G1017" s="47" t="str"/>
      <x:c r="H1017" s="47" t="str"/>
      <x:c r="I1017" s="47" t="str"/>
      <x:c r="J1017" s="48" t="n">
        <x:v>83923.76</x:v>
      </x:c>
      <x:c r="K1017" s="47" t="str">
        <x:v>56 novas</x:v>
      </x:c>
      <x:c r="L1017" s="47" t="str">
        <x:v>0 ativas</x:v>
      </x:c>
      <x:c r="M1017" s="47" t="str"/>
      <x:c r="N1017" s="47" t="str"/>
    </x:row>
    <x:row r="1019">
      <x:c r="A1019" s="26" t="str">
        <x:v>ESTILO GRANJA VIANA CONDOMÍNIO</x:v>
      </x:c>
      <x:c r="B1019" s="26"/>
      <x:c r="C1019" s="26"/>
      <x:c r="D1019" s="26"/>
      <x:c r="E1019" s="26"/>
      <x:c r="F1019" s="26"/>
      <x:c r="G1019" s="26"/>
      <x:c r="H1019" s="26"/>
      <x:c r="I1019" s="26"/>
      <x:c r="J1019" s="26"/>
      <x:c r="K1019" s="26"/>
      <x:c r="L1019" s="26"/>
      <x:c r="M1019" s="26"/>
      <x:c r="N1019" s="26"/>
    </x:row>
    <x:row r="1020">
      <x:c r="A1020" s="28" t="str">
        <x:v>CNPJ</x:v>
      </x:c>
      <x:c r="B1020" s="28" t="str">
        <x:v>24.169.107/0001-26</x:v>
      </x:c>
      <x:c r="C1020" s="28"/>
      <x:c r="D1020" s="28" t="str">
        <x:v>Dia de vencimento</x:v>
      </x:c>
      <x:c r="E1020" s="28" t="n">
        <x:v>10</x:v>
      </x:c>
      <x:c r="F1020" s="28" t="str">
        <x:v>Régua</x:v>
      </x:c>
      <x:c r="G1020" s="28" t="str">
        <x:v>D+60 · pré-jurídico em D+90</x:v>
      </x:c>
      <x:c r="H1020" s="28"/>
      <x:c r="I1020" s="28"/>
      <x:c r="J1020" s="28"/>
      <x:c r="K1020" s="28"/>
      <x:c r="L1020" s="28"/>
      <x:c r="M1020" s="28"/>
      <x:c r="N1020" s="28"/>
    </x:row>
    <x:row r="1021">
      <x:c r="A1021" s="9" t="str">
        <x:v>Unidade</x:v>
      </x:c>
      <x:c r="B1021" s="9" t="str">
        <x:v>Bloco</x:v>
      </x:c>
      <x:c r="C1021" s="9" t="str">
        <x:v>Responsável</x:v>
      </x:c>
      <x:c r="D1021" s="9" t="str">
        <x:v>Documento</x:v>
      </x:c>
      <x:c r="E1021" s="9" t="str">
        <x:v>Telefone</x:v>
      </x:c>
      <x:c r="F1021" s="9" t="str">
        <x:v>E-mail</x:v>
      </x:c>
      <x:c r="G1021" s="9" t="str">
        <x:v>Vencimento</x:v>
      </x:c>
      <x:c r="H1021" s="9" t="str">
        <x:v>Competência</x:v>
      </x:c>
      <x:c r="I1021" s="9" t="str">
        <x:v>Valor original</x:v>
      </x:c>
      <x:c r="J1021" s="9" t="str">
        <x:v>Valor atualizado</x:v>
      </x:c>
      <x:c r="K1021" s="9" t="str">
        <x:v>Status operacional</x:v>
      </x:c>
      <x:c r="L1021" s="9" t="str">
        <x:v>Status financeiro</x:v>
      </x:c>
      <x:c r="M1021" s="9" t="str">
        <x:v>ID cobrança</x:v>
      </x:c>
      <x:c r="N1021" s="9" t="str">
        <x:v>Observação</x:v>
      </x:c>
    </x:row>
    <x:row r="1022">
      <x:c r="A1022" s="49" t="str">
        <x:f>"000045"</x:f>
        <x:v>000045</x:v>
      </x:c>
      <x:c r="B1022" s="50" t="str">
        <x:f>"3"</x:f>
        <x:v>3</x:v>
      </x:c>
      <x:c r="C1022" s="50" t="str">
        <x:v>VIVIANE DA SILVA FERNANDES</x:v>
      </x:c>
      <x:c r="D1022" s="50" t="str">
        <x:f>""</x:f>
      </x:c>
      <x:c r="E1022" s="50" t="str">
        <x:f>""</x:f>
      </x:c>
      <x:c r="F1022" s="50" t="str"/>
      <x:c r="G1022" s="51" t="n">
        <x:v>46063</x:v>
      </x:c>
      <x:c r="H1022" s="52" t="str">
        <x:v>02/2026</x:v>
      </x:c>
      <x:c r="I1022" s="53" t="n">
        <x:v>345.82</x:v>
      </x:c>
      <x:c r="J1022" s="53" t="n">
        <x:v>385.52</x:v>
      </x:c>
      <x:c r="K1022" s="52" t="str">
        <x:v>Novo</x:v>
      </x:c>
      <x:c r="L1022" s="52" t="str">
        <x:v>Em aberto</x:v>
      </x:c>
      <x:c r="M1022" s="52" t="str">
        <x:v>34141856-451b-4895-8d0e-21f9f9cc31f1</x:v>
      </x:c>
      <x:c r="N1022" s="54" t="str"/>
    </x:row>
    <x:row r="1023">
      <x:c r="A1023" s="47" t="str">
        <x:v>Subtotal</x:v>
      </x:c>
      <x:c r="B1023" s="47" t="str"/>
      <x:c r="C1023" s="47" t="str"/>
      <x:c r="D1023" s="47" t="str"/>
      <x:c r="E1023" s="47" t="str"/>
      <x:c r="F1023" s="47" t="str"/>
      <x:c r="G1023" s="47" t="str"/>
      <x:c r="H1023" s="47" t="str"/>
      <x:c r="I1023" s="47" t="str"/>
      <x:c r="J1023" s="48" t="n">
        <x:v>385.52</x:v>
      </x:c>
      <x:c r="K1023" s="47" t="str">
        <x:v>1 novas</x:v>
      </x:c>
      <x:c r="L1023" s="47" t="str">
        <x:v>0 ativas</x:v>
      </x:c>
      <x:c r="M1023" s="47" t="str"/>
      <x:c r="N1023" s="47" t="str"/>
    </x:row>
    <x:row r="1025">
      <x:c r="A1025" s="24" t="str">
        <x:v>CARTEIRA: Valente Gomes · 123 cobranças · 123 novas · 0 ativas · R$ 157.617,56</x:v>
      </x:c>
      <x:c r="B1025" s="24"/>
      <x:c r="C1025" s="24"/>
      <x:c r="D1025" s="24"/>
      <x:c r="E1025" s="24"/>
      <x:c r="F1025" s="24"/>
      <x:c r="G1025" s="24"/>
      <x:c r="H1025" s="24"/>
      <x:c r="I1025" s="24"/>
      <x:c r="J1025" s="24"/>
      <x:c r="K1025" s="24"/>
      <x:c r="L1025" s="24"/>
      <x:c r="M1025" s="24"/>
      <x:c r="N1025" s="24"/>
    </x:row>
    <x:row r="1027">
      <x:c r="A1027" s="26" t="str">
        <x:v>CONDOMÍNIO ESCRITÓRIO RIO NEGRO</x:v>
      </x:c>
      <x:c r="B1027" s="26"/>
      <x:c r="C1027" s="26"/>
      <x:c r="D1027" s="26"/>
      <x:c r="E1027" s="26"/>
      <x:c r="F1027" s="26"/>
      <x:c r="G1027" s="26"/>
      <x:c r="H1027" s="26"/>
      <x:c r="I1027" s="26"/>
      <x:c r="J1027" s="26"/>
      <x:c r="K1027" s="26"/>
      <x:c r="L1027" s="26"/>
      <x:c r="M1027" s="26"/>
      <x:c r="N1027" s="26"/>
    </x:row>
    <x:row r="1028">
      <x:c r="A1028" s="28" t="str">
        <x:v>CNPJ</x:v>
      </x:c>
      <x:c r="B1028" s="28" t="str">
        <x:v>13.003.580/0002-01</x:v>
      </x:c>
      <x:c r="C1028" s="28"/>
      <x:c r="D1028" s="28" t="str">
        <x:v>Dia de vencimento</x:v>
      </x:c>
      <x:c r="E1028" s="28" t="n">
        <x:v>10</x:v>
      </x:c>
      <x:c r="F1028" s="28" t="str">
        <x:v>Régua</x:v>
      </x:c>
      <x:c r="G1028" s="28" t="str">
        <x:v>D+30</x:v>
      </x:c>
      <x:c r="H1028" s="28"/>
      <x:c r="I1028" s="28"/>
      <x:c r="J1028" s="28"/>
      <x:c r="K1028" s="28"/>
      <x:c r="L1028" s="28"/>
      <x:c r="M1028" s="28"/>
      <x:c r="N1028" s="28"/>
    </x:row>
    <x:row r="1029">
      <x:c r="A1029" s="9" t="str">
        <x:v>Unidade</x:v>
      </x:c>
      <x:c r="B1029" s="9" t="str">
        <x:v>Bloco</x:v>
      </x:c>
      <x:c r="C1029" s="9" t="str">
        <x:v>Responsável</x:v>
      </x:c>
      <x:c r="D1029" s="9" t="str">
        <x:v>Documento</x:v>
      </x:c>
      <x:c r="E1029" s="9" t="str">
        <x:v>Telefone</x:v>
      </x:c>
      <x:c r="F1029" s="9" t="str">
        <x:v>E-mail</x:v>
      </x:c>
      <x:c r="G1029" s="9" t="str">
        <x:v>Vencimento</x:v>
      </x:c>
      <x:c r="H1029" s="9" t="str">
        <x:v>Competência</x:v>
      </x:c>
      <x:c r="I1029" s="9" t="str">
        <x:v>Valor original</x:v>
      </x:c>
      <x:c r="J1029" s="9" t="str">
        <x:v>Valor atualizado</x:v>
      </x:c>
      <x:c r="K1029" s="9" t="str">
        <x:v>Status operacional</x:v>
      </x:c>
      <x:c r="L1029" s="9" t="str">
        <x:v>Status financeiro</x:v>
      </x:c>
      <x:c r="M1029" s="9" t="str">
        <x:v>ID cobrança</x:v>
      </x:c>
      <x:c r="N1029" s="9" t="str">
        <x:v>Observação</x:v>
      </x:c>
    </x:row>
    <x:row r="1030">
      <x:c r="A1030" s="31" t="str">
        <x:f>"000113"</x:f>
        <x:v>000113</x:v>
      </x:c>
      <x:c r="B1030" s="32" t="str">
        <x:f>""</x:f>
      </x:c>
      <x:c r="C1030" s="32" t="str">
        <x:v>José Rubens Cordeiro Leite Junior</x:v>
      </x:c>
      <x:c r="D1030" s="32" t="str">
        <x:f>""</x:f>
      </x:c>
      <x:c r="E1030" s="32" t="str">
        <x:f>"11947538912"</x:f>
        <x:v>11947538912</x:v>
      </x:c>
      <x:c r="F1030" s="32" t="str">
        <x:v>jrclj@hotmail.com</x:v>
      </x:c>
      <x:c r="G1030" s="33" t="n">
        <x:v>46117</x:v>
      </x:c>
      <x:c r="H1030" s="34" t="str">
        <x:v>04/2026</x:v>
      </x:c>
      <x:c r="I1030" s="35" t="n">
        <x:v>311.62</x:v>
      </x:c>
      <x:c r="J1030" s="35" t="n">
        <x:v>350.2</x:v>
      </x:c>
      <x:c r="K1030" s="34" t="str">
        <x:v>Novo</x:v>
      </x:c>
      <x:c r="L1030" s="34" t="str">
        <x:v>Em aberto</x:v>
      </x:c>
      <x:c r="M1030" s="34" t="str">
        <x:v>092f61d0-3805-48ff-8dfd-4a8d2b6dd240</x:v>
      </x:c>
      <x:c r="N1030" s="36" t="str"/>
    </x:row>
    <x:row r="1031">
      <x:c r="A1031" s="37" t="str">
        <x:f>"000113"</x:f>
        <x:v>000113</x:v>
      </x:c>
      <x:c r="B1031" s="38" t="str">
        <x:f>""</x:f>
      </x:c>
      <x:c r="C1031" s="38" t="str">
        <x:v>José Rubens Cordeiro Leite Junior</x:v>
      </x:c>
      <x:c r="D1031" s="38" t="str">
        <x:f>""</x:f>
      </x:c>
      <x:c r="E1031" s="38" t="str">
        <x:f>"11947538912"</x:f>
        <x:v>11947538912</x:v>
      </x:c>
      <x:c r="F1031" s="38" t="str">
        <x:v>jrclj@hotmail.com</x:v>
      </x:c>
      <x:c r="G1031" s="39" t="n">
        <x:v>46147</x:v>
      </x:c>
      <x:c r="H1031" s="16" t="str">
        <x:v>05/2026</x:v>
      </x:c>
      <x:c r="I1031" s="40" t="n">
        <x:v>991.56</x:v>
      </x:c>
      <x:c r="J1031" s="40" t="n">
        <x:v>1055.23</x:v>
      </x:c>
      <x:c r="K1031" s="16" t="str">
        <x:v>Novo</x:v>
      </x:c>
      <x:c r="L1031" s="16" t="str">
        <x:v>Em aberto</x:v>
      </x:c>
      <x:c r="M1031" s="16" t="str">
        <x:v>ce35ced7-511e-4c64-b703-d3fe89aa54a5</x:v>
      </x:c>
      <x:c r="N1031" s="41" t="str"/>
    </x:row>
    <x:row r="1032">
      <x:c r="A1032" s="37" t="str">
        <x:f>"000113"</x:f>
        <x:v>000113</x:v>
      </x:c>
      <x:c r="B1032" s="38" t="str">
        <x:f>""</x:f>
      </x:c>
      <x:c r="C1032" s="38" t="str">
        <x:v>José Rubens Cordeiro Leite Junior</x:v>
      </x:c>
      <x:c r="D1032" s="38" t="str">
        <x:f>""</x:f>
      </x:c>
      <x:c r="E1032" s="38" t="str">
        <x:f>"11947538912"</x:f>
        <x:v>11947538912</x:v>
      </x:c>
      <x:c r="F1032" s="38" t="str">
        <x:v>jrclj@hotmail.com</x:v>
      </x:c>
      <x:c r="G1032" s="39" t="n">
        <x:v>46178</x:v>
      </x:c>
      <x:c r="H1032" s="16" t="str">
        <x:v>06/2026</x:v>
      </x:c>
      <x:c r="I1032" s="40" t="n">
        <x:v>761.4</x:v>
      </x:c>
      <x:c r="J1032" s="40" t="n">
        <x:v>795.52</x:v>
      </x:c>
      <x:c r="K1032" s="16" t="str">
        <x:v>Novo</x:v>
      </x:c>
      <x:c r="L1032" s="16" t="str">
        <x:v>Em aberto</x:v>
      </x:c>
      <x:c r="M1032" s="16" t="str">
        <x:v>02150d5b-8987-4016-93f2-7f7586c5cb37</x:v>
      </x:c>
      <x:c r="N1032" s="41" t="str"/>
    </x:row>
    <x:row r="1033">
      <x:c r="A1033" s="37" t="str">
        <x:f>"000113"</x:f>
        <x:v>000113</x:v>
      </x:c>
      <x:c r="B1033" s="38" t="str">
        <x:f>""</x:f>
      </x:c>
      <x:c r="C1033" s="38" t="str">
        <x:v>José Rubens Cordeiro Leite Junior</x:v>
      </x:c>
      <x:c r="D1033" s="38" t="str">
        <x:f>""</x:f>
      </x:c>
      <x:c r="E1033" s="38" t="str">
        <x:f>"11947538912"</x:f>
        <x:v>11947538912</x:v>
      </x:c>
      <x:c r="F1033" s="38" t="str">
        <x:v>jrclj@hotmail.com</x:v>
      </x:c>
      <x:c r="G1033" s="39" t="n">
        <x:v>46208</x:v>
      </x:c>
      <x:c r="H1033" s="16" t="str">
        <x:v>07/2026</x:v>
      </x:c>
      <x:c r="I1033" s="40" t="n">
        <x:v>774.3</x:v>
      </x:c>
      <x:c r="J1033" s="40" t="n">
        <x:v>801.09</x:v>
      </x:c>
      <x:c r="K1033" s="16" t="str">
        <x:v>Novo</x:v>
      </x:c>
      <x:c r="L1033" s="16" t="str">
        <x:v>Em aberto</x:v>
      </x:c>
      <x:c r="M1033" s="16" t="str">
        <x:v>535d1bd1-34b9-47c0-9cdf-61eac44dff4a</x:v>
      </x:c>
      <x:c r="N1033" s="41" t="str"/>
    </x:row>
    <x:row r="1034">
      <x:c r="A1034" s="37" t="str">
        <x:f>"000117"</x:f>
        <x:v>000117</x:v>
      </x:c>
      <x:c r="B1034" s="38" t="str">
        <x:f>""</x:f>
      </x:c>
      <x:c r="C1034" s="38" t="str">
        <x:v>Silas Lacerda Lemes</x:v>
      </x:c>
      <x:c r="D1034" s="38" t="str">
        <x:f>""</x:f>
      </x:c>
      <x:c r="E1034" s="38" t="str">
        <x:f>"11982663906"</x:f>
        <x:v>11982663906</x:v>
      </x:c>
      <x:c r="F1034" s="38" t="str">
        <x:v>redejoy@uol.com.br</x:v>
      </x:c>
      <x:c r="G1034" s="39" t="n">
        <x:v>46086</x:v>
      </x:c>
      <x:c r="H1034" s="16" t="str">
        <x:v>03/2026</x:v>
      </x:c>
      <x:c r="I1034" s="40" t="n">
        <x:v>1217.92</x:v>
      </x:c>
      <x:c r="J1034" s="40" t="n">
        <x:v>1364.2</x:v>
      </x:c>
      <x:c r="K1034" s="16" t="str">
        <x:v>Novo</x:v>
      </x:c>
      <x:c r="L1034" s="16" t="str">
        <x:v>Em aberto</x:v>
      </x:c>
      <x:c r="M1034" s="16" t="str">
        <x:v>b4c98b09-a87e-4e06-8b57-481af6d22277</x:v>
      </x:c>
      <x:c r="N1034" s="41" t="str"/>
    </x:row>
    <x:row r="1035">
      <x:c r="A1035" s="37" t="str">
        <x:f>"000117"</x:f>
        <x:v>000117</x:v>
      </x:c>
      <x:c r="B1035" s="38" t="str">
        <x:f>""</x:f>
      </x:c>
      <x:c r="C1035" s="38" t="str">
        <x:v>Silas Lacerda Lemes</x:v>
      </x:c>
      <x:c r="D1035" s="38" t="str">
        <x:f>""</x:f>
      </x:c>
      <x:c r="E1035" s="38" t="str">
        <x:f>"11982663906"</x:f>
        <x:v>11982663906</x:v>
      </x:c>
      <x:c r="F1035" s="38" t="str">
        <x:v>redejoy@uol.com.br</x:v>
      </x:c>
      <x:c r="G1035" s="39" t="n">
        <x:v>46117</x:v>
      </x:c>
      <x:c r="H1035" s="16" t="str">
        <x:v>04/2026</x:v>
      </x:c>
      <x:c r="I1035" s="40" t="n">
        <x:v>1241.22</x:v>
      </x:c>
      <x:c r="J1035" s="40" t="n">
        <x:v>1369.81</x:v>
      </x:c>
      <x:c r="K1035" s="16" t="str">
        <x:v>Novo</x:v>
      </x:c>
      <x:c r="L1035" s="16" t="str">
        <x:v>Em aberto</x:v>
      </x:c>
      <x:c r="M1035" s="16" t="str">
        <x:v>ef9cfbf0-e857-496a-934e-790e4b0958be</x:v>
      </x:c>
      <x:c r="N1035" s="41" t="str"/>
    </x:row>
    <x:row r="1036">
      <x:c r="A1036" s="37" t="str">
        <x:f>"000117"</x:f>
        <x:v>000117</x:v>
      </x:c>
      <x:c r="B1036" s="38" t="str">
        <x:f>""</x:f>
      </x:c>
      <x:c r="C1036" s="38" t="str">
        <x:v>Silas Lacerda Lemes</x:v>
      </x:c>
      <x:c r="D1036" s="38" t="str">
        <x:f>""</x:f>
      </x:c>
      <x:c r="E1036" s="38" t="str">
        <x:f>"11982663906"</x:f>
        <x:v>11982663906</x:v>
      </x:c>
      <x:c r="F1036" s="38" t="str">
        <x:v>redejoy@uol.com.br</x:v>
      </x:c>
      <x:c r="G1036" s="39" t="n">
        <x:v>46147</x:v>
      </x:c>
      <x:c r="H1036" s="16" t="str">
        <x:v>05/2026</x:v>
      </x:c>
      <x:c r="I1036" s="40" t="n">
        <x:v>1272.54</x:v>
      </x:c>
      <x:c r="J1036" s="40" t="n">
        <x:v>1354.27</x:v>
      </x:c>
      <x:c r="K1036" s="16" t="str">
        <x:v>Novo</x:v>
      </x:c>
      <x:c r="L1036" s="16" t="str">
        <x:v>Em aberto</x:v>
      </x:c>
      <x:c r="M1036" s="16" t="str">
        <x:v>60a8f4cb-1fab-414a-9fd2-29eb031ddec3</x:v>
      </x:c>
      <x:c r="N1036" s="41" t="str"/>
    </x:row>
    <x:row r="1037">
      <x:c r="A1037" s="37" t="str">
        <x:f>"000209"</x:f>
        <x:v>000209</x:v>
      </x:c>
      <x:c r="B1037" s="38" t="str">
        <x:f>""</x:f>
      </x:c>
      <x:c r="C1037" s="38" t="str">
        <x:v>Poli e Detini Industria de Calcados Ltda</x:v>
      </x:c>
      <x:c r="D1037" s="38" t="str">
        <x:f>""</x:f>
      </x:c>
      <x:c r="E1037" s="38" t="str">
        <x:f>"1836435516"</x:f>
        <x:v>1836435516</x:v>
      </x:c>
      <x:c r="F1037" s="38" t="str">
        <x:v>andozia@pecompe.com.br</x:v>
      </x:c>
      <x:c r="G1037" s="39" t="n">
        <x:v>46208</x:v>
      </x:c>
      <x:c r="H1037" s="16" t="str">
        <x:v>07/2026</x:v>
      </x:c>
      <x:c r="I1037" s="40" t="n">
        <x:v>911.09</x:v>
      </x:c>
      <x:c r="J1037" s="40" t="n">
        <x:v>942.63</x:v>
      </x:c>
      <x:c r="K1037" s="16" t="str">
        <x:v>Novo</x:v>
      </x:c>
      <x:c r="L1037" s="16" t="str">
        <x:v>Em aberto</x:v>
      </x:c>
      <x:c r="M1037" s="16" t="str">
        <x:v>9fc6343f-839c-4478-be4d-304dd2ac0a90</x:v>
      </x:c>
      <x:c r="N1037" s="41" t="str"/>
    </x:row>
    <x:row r="1038">
      <x:c r="A1038" s="37" t="str">
        <x:f>"000210"</x:f>
        <x:v>000210</x:v>
      </x:c>
      <x:c r="B1038" s="38" t="str">
        <x:f>""</x:f>
      </x:c>
      <x:c r="C1038" s="38" t="str">
        <x:v>Poli e Detini Industria de Calcados Ltda</x:v>
      </x:c>
      <x:c r="D1038" s="38" t="str">
        <x:f>""</x:f>
      </x:c>
      <x:c r="E1038" s="38" t="str">
        <x:f>"1836435516"</x:f>
        <x:v>1836435516</x:v>
      </x:c>
      <x:c r="F1038" s="38" t="str">
        <x:v>andozia@pecompe.com.br</x:v>
      </x:c>
      <x:c r="G1038" s="39" t="n">
        <x:v>46208</x:v>
      </x:c>
      <x:c r="H1038" s="16" t="str">
        <x:v>07/2026</x:v>
      </x:c>
      <x:c r="I1038" s="40" t="n">
        <x:v>1029.21</x:v>
      </x:c>
      <x:c r="J1038" s="40" t="n">
        <x:v>1064.85</x:v>
      </x:c>
      <x:c r="K1038" s="16" t="str">
        <x:v>Novo</x:v>
      </x:c>
      <x:c r="L1038" s="16" t="str">
        <x:v>Em aberto</x:v>
      </x:c>
      <x:c r="M1038" s="16" t="str">
        <x:v>ed109cf4-3bae-40b4-962c-fc11c19684ca</x:v>
      </x:c>
      <x:c r="N1038" s="41" t="str"/>
    </x:row>
    <x:row r="1039">
      <x:c r="A1039" s="37" t="str">
        <x:f>"000214"</x:f>
        <x:v>000214</x:v>
      </x:c>
      <x:c r="B1039" s="38" t="str">
        <x:f>""</x:f>
      </x:c>
      <x:c r="C1039" s="38" t="str">
        <x:v>Edilson Hidemi Takami</x:v>
      </x:c>
      <x:c r="D1039" s="38" t="str">
        <x:f>""</x:f>
      </x:c>
      <x:c r="E1039" s="38" t="str">
        <x:f>"1147062747"</x:f>
        <x:v>1147062747</x:v>
      </x:c>
      <x:c r="F1039" s="38" t="str">
        <x:v>financeiro@beautyalpha.com.br</x:v>
      </x:c>
      <x:c r="G1039" s="39" t="n">
        <x:v>46208</x:v>
      </x:c>
      <x:c r="H1039" s="16" t="str">
        <x:v>07/2026</x:v>
      </x:c>
      <x:c r="I1039" s="40" t="n">
        <x:v>986.31</x:v>
      </x:c>
      <x:c r="J1039" s="40" t="n">
        <x:v>1020.46</x:v>
      </x:c>
      <x:c r="K1039" s="16" t="str">
        <x:v>Novo</x:v>
      </x:c>
      <x:c r="L1039" s="16" t="str">
        <x:v>Em aberto</x:v>
      </x:c>
      <x:c r="M1039" s="16" t="str">
        <x:v>98b8b54e-e4af-4c1c-8d3e-8b0bce55a34f</x:v>
      </x:c>
      <x:c r="N1039" s="41" t="str"/>
    </x:row>
    <x:row r="1040">
      <x:c r="A1040" s="37" t="str">
        <x:f>"000215"</x:f>
        <x:v>000215</x:v>
      </x:c>
      <x:c r="B1040" s="38" t="str">
        <x:f>""</x:f>
      </x:c>
      <x:c r="C1040" s="38" t="str">
        <x:v>Edilson Hidemi Takami</x:v>
      </x:c>
      <x:c r="D1040" s="38" t="str">
        <x:f>""</x:f>
      </x:c>
      <x:c r="E1040" s="38" t="str">
        <x:f>"1147062747"</x:f>
        <x:v>1147062747</x:v>
      </x:c>
      <x:c r="F1040" s="38" t="str">
        <x:v>financeiro@beautyalpha.com.br</x:v>
      </x:c>
      <x:c r="G1040" s="39" t="n">
        <x:v>46208</x:v>
      </x:c>
      <x:c r="H1040" s="16" t="str">
        <x:v>07/2026</x:v>
      </x:c>
      <x:c r="I1040" s="40" t="n">
        <x:v>1229.09</x:v>
      </x:c>
      <x:c r="J1040" s="40" t="n">
        <x:v>1271.65</x:v>
      </x:c>
      <x:c r="K1040" s="16" t="str">
        <x:v>Novo</x:v>
      </x:c>
      <x:c r="L1040" s="16" t="str">
        <x:v>Em aberto</x:v>
      </x:c>
      <x:c r="M1040" s="16" t="str">
        <x:v>05a279b7-cc41-4772-bb6f-7391b3a4752b</x:v>
      </x:c>
      <x:c r="N1040" s="41" t="str"/>
    </x:row>
    <x:row r="1041">
      <x:c r="A1041" s="37" t="str">
        <x:f>"000218"</x:f>
        <x:v>000218</x:v>
      </x:c>
      <x:c r="B1041" s="38" t="str">
        <x:f>""</x:f>
      </x:c>
      <x:c r="C1041" s="38" t="str">
        <x:v>Julimar Duque Pinto</x:v>
      </x:c>
      <x:c r="D1041" s="38" t="str">
        <x:f>""</x:f>
      </x:c>
      <x:c r="E1041" s="38" t="str">
        <x:f>"11983385550"</x:f>
        <x:v>11983385550</x:v>
      </x:c>
      <x:c r="F1041" s="38" t="str">
        <x:v>financeiro@jjconsult.com.br</x:v>
      </x:c>
      <x:c r="G1041" s="39" t="n">
        <x:v>46117</x:v>
      </x:c>
      <x:c r="H1041" s="16" t="str">
        <x:v>04/2026</x:v>
      </x:c>
      <x:c r="I1041" s="40" t="n">
        <x:v>2222.42</x:v>
      </x:c>
      <x:c r="J1041" s="40" t="n">
        <x:v>2452.65</x:v>
      </x:c>
      <x:c r="K1041" s="16" t="str">
        <x:v>Novo</x:v>
      </x:c>
      <x:c r="L1041" s="16" t="str">
        <x:v>Em aberto</x:v>
      </x:c>
      <x:c r="M1041" s="16" t="str">
        <x:v>893e2b42-103e-4d93-b205-3a6fc00f0310</x:v>
      </x:c>
      <x:c r="N1041" s="41" t="str"/>
    </x:row>
    <x:row r="1042">
      <x:c r="A1042" s="37" t="str">
        <x:f>"000307"</x:f>
        <x:v>000307</x:v>
      </x:c>
      <x:c r="B1042" s="38" t="str">
        <x:f>""</x:f>
      </x:c>
      <x:c r="C1042" s="38" t="str">
        <x:v>CARLOS ALBERTO VIEIRA DE SOUZA JUNIOR</x:v>
      </x:c>
      <x:c r="D1042" s="38" t="str">
        <x:f>""</x:f>
      </x:c>
      <x:c r="E1042" s="38" t="str">
        <x:f>"11971152525"</x:f>
        <x:v>11971152525</x:v>
      </x:c>
      <x:c r="F1042" s="38" t="str">
        <x:v>carlosvieirax100@gmail.com</x:v>
      </x:c>
      <x:c r="G1042" s="39" t="n">
        <x:v>46058</x:v>
      </x:c>
      <x:c r="H1042" s="16" t="str">
        <x:v>02/2026</x:v>
      </x:c>
      <x:c r="I1042" s="40" t="n">
        <x:v>1226.93</x:v>
      </x:c>
      <x:c r="J1042" s="40" t="n">
        <x:v>1386.46</x:v>
      </x:c>
      <x:c r="K1042" s="16" t="str">
        <x:v>Novo</x:v>
      </x:c>
      <x:c r="L1042" s="16" t="str">
        <x:v>Em aberto</x:v>
      </x:c>
      <x:c r="M1042" s="16" t="str">
        <x:v>6353826a-61a7-4b97-b7c4-7c35c3f470cc</x:v>
      </x:c>
      <x:c r="N1042" s="41" t="str"/>
    </x:row>
    <x:row r="1043">
      <x:c r="A1043" s="37" t="str">
        <x:f>"000307"</x:f>
        <x:v>000307</x:v>
      </x:c>
      <x:c r="B1043" s="38" t="str">
        <x:f>""</x:f>
      </x:c>
      <x:c r="C1043" s="38" t="str">
        <x:v>CARLOS ALBERTO VIEIRA DE SOUZA JUNIOR</x:v>
      </x:c>
      <x:c r="D1043" s="38" t="str">
        <x:f>""</x:f>
      </x:c>
      <x:c r="E1043" s="38" t="str">
        <x:f>"11971152525"</x:f>
        <x:v>11971152525</x:v>
      </x:c>
      <x:c r="F1043" s="38" t="str">
        <x:v>carlosvieirax100@gmail.com</x:v>
      </x:c>
      <x:c r="G1043" s="39" t="n">
        <x:v>46117</x:v>
      </x:c>
      <x:c r="H1043" s="16" t="str">
        <x:v>04/2026</x:v>
      </x:c>
      <x:c r="I1043" s="40" t="n">
        <x:v>1241.22</x:v>
      </x:c>
      <x:c r="J1043" s="40" t="n">
        <x:v>1369.81</x:v>
      </x:c>
      <x:c r="K1043" s="16" t="str">
        <x:v>Novo</x:v>
      </x:c>
      <x:c r="L1043" s="16" t="str">
        <x:v>Em aberto</x:v>
      </x:c>
      <x:c r="M1043" s="16" t="str">
        <x:v>cfe37e6e-5bee-485b-8059-4e65af1dbe1c</x:v>
      </x:c>
      <x:c r="N1043" s="41" t="str"/>
    </x:row>
    <x:row r="1044">
      <x:c r="A1044" s="37" t="str">
        <x:f>"000518"</x:f>
        <x:v>000518</x:v>
      </x:c>
      <x:c r="B1044" s="38" t="str">
        <x:f>""</x:f>
      </x:c>
      <x:c r="C1044" s="38" t="str">
        <x:v>Unigres</x:v>
      </x:c>
      <x:c r="D1044" s="38" t="str">
        <x:f>""</x:f>
      </x:c>
      <x:c r="E1044" s="38" t="str">
        <x:f>"0551921134737"</x:f>
        <x:v>0551921134737</x:v>
      </x:c>
      <x:c r="F1044" s="38" t="str">
        <x:v>juridico.interno@unigres.com.br</x:v>
      </x:c>
      <x:c r="G1044" s="39" t="n">
        <x:v>46027</x:v>
      </x:c>
      <x:c r="H1044" s="16" t="str">
        <x:v>01/2026</x:v>
      </x:c>
      <x:c r="I1044" s="40" t="n">
        <x:v>1139.39</x:v>
      </x:c>
      <x:c r="J1044" s="40" t="n">
        <x:v>1305.16</x:v>
      </x:c>
      <x:c r="K1044" s="16" t="str">
        <x:v>Novo</x:v>
      </x:c>
      <x:c r="L1044" s="16" t="str">
        <x:v>Em aberto</x:v>
      </x:c>
      <x:c r="M1044" s="16" t="str">
        <x:v>83e17e3a-d90d-4a66-a445-3f6595be861f</x:v>
      </x:c>
      <x:c r="N1044" s="41" t="str"/>
    </x:row>
    <x:row r="1045">
      <x:c r="A1045" s="37" t="str">
        <x:f>"000518"</x:f>
        <x:v>000518</x:v>
      </x:c>
      <x:c r="B1045" s="38" t="str">
        <x:f>""</x:f>
      </x:c>
      <x:c r="C1045" s="38" t="str">
        <x:v>Unigres</x:v>
      </x:c>
      <x:c r="D1045" s="38" t="str">
        <x:f>""</x:f>
      </x:c>
      <x:c r="E1045" s="38" t="str">
        <x:f>"0551921134737"</x:f>
        <x:v>0551921134737</x:v>
      </x:c>
      <x:c r="F1045" s="38" t="str">
        <x:v>juridico.interno@unigres.com.br</x:v>
      </x:c>
      <x:c r="G1045" s="39" t="n">
        <x:v>46058</x:v>
      </x:c>
      <x:c r="H1045" s="16" t="str">
        <x:v>02/2026</x:v>
      </x:c>
      <x:c r="I1045" s="40" t="n">
        <x:v>1133.36</x:v>
      </x:c>
      <x:c r="J1045" s="40" t="n">
        <x:v>1280.72</x:v>
      </x:c>
      <x:c r="K1045" s="16" t="str">
        <x:v>Novo</x:v>
      </x:c>
      <x:c r="L1045" s="16" t="str">
        <x:v>Em aberto</x:v>
      </x:c>
      <x:c r="M1045" s="16" t="str">
        <x:v>2b8d6238-716b-4e4d-8872-7b577c4c0ee6</x:v>
      </x:c>
      <x:c r="N1045" s="41" t="str"/>
    </x:row>
    <x:row r="1046">
      <x:c r="A1046" s="37" t="str">
        <x:f>"000518"</x:f>
        <x:v>000518</x:v>
      </x:c>
      <x:c r="B1046" s="38" t="str">
        <x:f>""</x:f>
      </x:c>
      <x:c r="C1046" s="38" t="str">
        <x:v>Unigres</x:v>
      </x:c>
      <x:c r="D1046" s="38" t="str">
        <x:f>""</x:f>
      </x:c>
      <x:c r="E1046" s="38" t="str">
        <x:f>"0551921134737"</x:f>
        <x:v>0551921134737</x:v>
      </x:c>
      <x:c r="F1046" s="38" t="str">
        <x:v>juridico.interno@unigres.com.br</x:v>
      </x:c>
      <x:c r="G1046" s="39" t="n">
        <x:v>46086</x:v>
      </x:c>
      <x:c r="H1046" s="16" t="str">
        <x:v>03/2026</x:v>
      </x:c>
      <x:c r="I1046" s="40" t="n">
        <x:v>1125.04</x:v>
      </x:c>
      <x:c r="J1046" s="40" t="n">
        <x:v>1260.17</x:v>
      </x:c>
      <x:c r="K1046" s="16" t="str">
        <x:v>Novo</x:v>
      </x:c>
      <x:c r="L1046" s="16" t="str">
        <x:v>Em aberto</x:v>
      </x:c>
      <x:c r="M1046" s="16" t="str">
        <x:v>ad7cb3ad-0e07-47cb-a545-7d76d6d6cec3</x:v>
      </x:c>
      <x:c r="N1046" s="41" t="str"/>
    </x:row>
    <x:row r="1047">
      <x:c r="A1047" s="37" t="str">
        <x:f>"000518"</x:f>
        <x:v>000518</x:v>
      </x:c>
      <x:c r="B1047" s="38" t="str">
        <x:f>""</x:f>
      </x:c>
      <x:c r="C1047" s="38" t="str">
        <x:v>Unigres</x:v>
      </x:c>
      <x:c r="D1047" s="38" t="str">
        <x:f>""</x:f>
      </x:c>
      <x:c r="E1047" s="38" t="str">
        <x:f>"0551921134737"</x:f>
        <x:v>0551921134737</x:v>
      </x:c>
      <x:c r="F1047" s="38" t="str">
        <x:v>juridico.interno@unigres.com.br</x:v>
      </x:c>
      <x:c r="G1047" s="39" t="n">
        <x:v>46117</x:v>
      </x:c>
      <x:c r="H1047" s="16" t="str">
        <x:v>04/2026</x:v>
      </x:c>
      <x:c r="I1047" s="40" t="n">
        <x:v>1146.56</x:v>
      </x:c>
      <x:c r="J1047" s="40" t="n">
        <x:v>1265.33</x:v>
      </x:c>
      <x:c r="K1047" s="16" t="str">
        <x:v>Novo</x:v>
      </x:c>
      <x:c r="L1047" s="16" t="str">
        <x:v>Em aberto</x:v>
      </x:c>
      <x:c r="M1047" s="16" t="str">
        <x:v>1dba8fc8-68c6-498b-8de0-50a4348ae9be</x:v>
      </x:c>
      <x:c r="N1047" s="41" t="str"/>
    </x:row>
    <x:row r="1048">
      <x:c r="A1048" s="37" t="str">
        <x:f>"000518"</x:f>
        <x:v>000518</x:v>
      </x:c>
      <x:c r="B1048" s="38" t="str">
        <x:f>""</x:f>
      </x:c>
      <x:c r="C1048" s="38" t="str">
        <x:v>Unigres</x:v>
      </x:c>
      <x:c r="D1048" s="38" t="str">
        <x:f>""</x:f>
      </x:c>
      <x:c r="E1048" s="38" t="str">
        <x:f>"0551921134737"</x:f>
        <x:v>0551921134737</x:v>
      </x:c>
      <x:c r="F1048" s="38" t="str">
        <x:v>juridico.interno@unigres.com.br</x:v>
      </x:c>
      <x:c r="G1048" s="39" t="n">
        <x:v>46147</x:v>
      </x:c>
      <x:c r="H1048" s="16" t="str">
        <x:v>05/2026</x:v>
      </x:c>
      <x:c r="I1048" s="40" t="n">
        <x:v>1166.72</x:v>
      </x:c>
      <x:c r="J1048" s="40" t="n">
        <x:v>1241.65</x:v>
      </x:c>
      <x:c r="K1048" s="16" t="str">
        <x:v>Novo</x:v>
      </x:c>
      <x:c r="L1048" s="16" t="str">
        <x:v>Em aberto</x:v>
      </x:c>
      <x:c r="M1048" s="16" t="str">
        <x:v>429d42bc-ae99-48f9-b206-75014328d095</x:v>
      </x:c>
      <x:c r="N1048" s="41" t="str"/>
    </x:row>
    <x:row r="1049">
      <x:c r="A1049" s="37" t="str">
        <x:f>"000518"</x:f>
        <x:v>000518</x:v>
      </x:c>
      <x:c r="B1049" s="38" t="str">
        <x:f>""</x:f>
      </x:c>
      <x:c r="C1049" s="38" t="str">
        <x:v>Unigres</x:v>
      </x:c>
      <x:c r="D1049" s="38" t="str">
        <x:f>""</x:f>
      </x:c>
      <x:c r="E1049" s="38" t="str">
        <x:f>"0551921134737"</x:f>
        <x:v>0551921134737</x:v>
      </x:c>
      <x:c r="F1049" s="38" t="str">
        <x:v>juridico.interno@unigres.com.br</x:v>
      </x:c>
      <x:c r="G1049" s="39" t="n">
        <x:v>46178</x:v>
      </x:c>
      <x:c r="H1049" s="16" t="str">
        <x:v>06/2026</x:v>
      </x:c>
      <x:c r="I1049" s="40" t="n">
        <x:v>895.91</x:v>
      </x:c>
      <x:c r="J1049" s="40" t="n">
        <x:v>936.06</x:v>
      </x:c>
      <x:c r="K1049" s="16" t="str">
        <x:v>Novo</x:v>
      </x:c>
      <x:c r="L1049" s="16" t="str">
        <x:v>Em aberto</x:v>
      </x:c>
      <x:c r="M1049" s="16" t="str">
        <x:v>f3c019ca-2338-4ea7-8d43-32662ac6125c</x:v>
      </x:c>
      <x:c r="N1049" s="41" t="str"/>
    </x:row>
    <x:row r="1050">
      <x:c r="A1050" s="37" t="str">
        <x:f>"000518"</x:f>
        <x:v>000518</x:v>
      </x:c>
      <x:c r="B1050" s="38" t="str">
        <x:f>""</x:f>
      </x:c>
      <x:c r="C1050" s="38" t="str">
        <x:v>Unigres</x:v>
      </x:c>
      <x:c r="D1050" s="38" t="str">
        <x:f>""</x:f>
      </x:c>
      <x:c r="E1050" s="38" t="str">
        <x:f>"0551921134737"</x:f>
        <x:v>0551921134737</x:v>
      </x:c>
      <x:c r="F1050" s="38" t="str">
        <x:v>juridico.interno@unigres.com.br</x:v>
      </x:c>
      <x:c r="G1050" s="39" t="n">
        <x:v>46208</x:v>
      </x:c>
      <x:c r="H1050" s="16" t="str">
        <x:v>07/2026</x:v>
      </x:c>
      <x:c r="I1050" s="40" t="n">
        <x:v>911.09</x:v>
      </x:c>
      <x:c r="J1050" s="40" t="n">
        <x:v>942.63</x:v>
      </x:c>
      <x:c r="K1050" s="16" t="str">
        <x:v>Novo</x:v>
      </x:c>
      <x:c r="L1050" s="16" t="str">
        <x:v>Em aberto</x:v>
      </x:c>
      <x:c r="M1050" s="16" t="str">
        <x:v>cacfd515-b050-4231-a8a6-76148bb5a6f6</x:v>
      </x:c>
      <x:c r="N1050" s="41" t="str"/>
    </x:row>
    <x:row r="1051">
      <x:c r="A1051" s="37" t="str">
        <x:f>"000519"</x:f>
        <x:v>000519</x:v>
      </x:c>
      <x:c r="B1051" s="38" t="str">
        <x:f>""</x:f>
      </x:c>
      <x:c r="C1051" s="38" t="str">
        <x:v>Unigres</x:v>
      </x:c>
      <x:c r="D1051" s="38" t="str">
        <x:f>""</x:f>
      </x:c>
      <x:c r="E1051" s="38" t="str">
        <x:f>"0551921134737"</x:f>
        <x:v>0551921134737</x:v>
      </x:c>
      <x:c r="F1051" s="38" t="str">
        <x:v>juridico.interno@unigres.com.br</x:v>
      </x:c>
      <x:c r="G1051" s="39" t="n">
        <x:v>46027</x:v>
      </x:c>
      <x:c r="H1051" s="16" t="str">
        <x:v>01/2026</x:v>
      </x:c>
      <x:c r="I1051" s="40" t="n">
        <x:v>1139.39</x:v>
      </x:c>
      <x:c r="J1051" s="40" t="n">
        <x:v>1305.16</x:v>
      </x:c>
      <x:c r="K1051" s="16" t="str">
        <x:v>Novo</x:v>
      </x:c>
      <x:c r="L1051" s="16" t="str">
        <x:v>Em aberto</x:v>
      </x:c>
      <x:c r="M1051" s="16" t="str">
        <x:v>e0bf28c8-4079-47b8-902e-487434d46c9e</x:v>
      </x:c>
      <x:c r="N1051" s="41" t="str"/>
    </x:row>
    <x:row r="1052">
      <x:c r="A1052" s="37" t="str">
        <x:f>"000519"</x:f>
        <x:v>000519</x:v>
      </x:c>
      <x:c r="B1052" s="38" t="str">
        <x:f>""</x:f>
      </x:c>
      <x:c r="C1052" s="38" t="str">
        <x:v>Unigres</x:v>
      </x:c>
      <x:c r="D1052" s="38" t="str">
        <x:f>""</x:f>
      </x:c>
      <x:c r="E1052" s="38" t="str">
        <x:f>"0551921134737"</x:f>
        <x:v>0551921134737</x:v>
      </x:c>
      <x:c r="F1052" s="38" t="str">
        <x:v>juridico.interno@unigres.com.br</x:v>
      </x:c>
      <x:c r="G1052" s="39" t="n">
        <x:v>46058</x:v>
      </x:c>
      <x:c r="H1052" s="16" t="str">
        <x:v>02/2026</x:v>
      </x:c>
      <x:c r="I1052" s="40" t="n">
        <x:v>1133.36</x:v>
      </x:c>
      <x:c r="J1052" s="40" t="n">
        <x:v>1280.72</x:v>
      </x:c>
      <x:c r="K1052" s="16" t="str">
        <x:v>Novo</x:v>
      </x:c>
      <x:c r="L1052" s="16" t="str">
        <x:v>Em aberto</x:v>
      </x:c>
      <x:c r="M1052" s="16" t="str">
        <x:v>0fcff7cf-dd05-4125-8e45-0e437df767ce</x:v>
      </x:c>
      <x:c r="N1052" s="41" t="str"/>
    </x:row>
    <x:row r="1053">
      <x:c r="A1053" s="37" t="str">
        <x:f>"000519"</x:f>
        <x:v>000519</x:v>
      </x:c>
      <x:c r="B1053" s="38" t="str">
        <x:f>""</x:f>
      </x:c>
      <x:c r="C1053" s="38" t="str">
        <x:v>Unigres</x:v>
      </x:c>
      <x:c r="D1053" s="38" t="str">
        <x:f>""</x:f>
      </x:c>
      <x:c r="E1053" s="38" t="str">
        <x:f>"0551921134737"</x:f>
        <x:v>0551921134737</x:v>
      </x:c>
      <x:c r="F1053" s="38" t="str">
        <x:v>juridico.interno@unigres.com.br</x:v>
      </x:c>
      <x:c r="G1053" s="39" t="n">
        <x:v>46086</x:v>
      </x:c>
      <x:c r="H1053" s="16" t="str">
        <x:v>03/2026</x:v>
      </x:c>
      <x:c r="I1053" s="40" t="n">
        <x:v>1125.04</x:v>
      </x:c>
      <x:c r="J1053" s="40" t="n">
        <x:v>1260.17</x:v>
      </x:c>
      <x:c r="K1053" s="16" t="str">
        <x:v>Novo</x:v>
      </x:c>
      <x:c r="L1053" s="16" t="str">
        <x:v>Em aberto</x:v>
      </x:c>
      <x:c r="M1053" s="16" t="str">
        <x:v>006e21dd-9eb3-4ed8-af8a-e28d79e85c11</x:v>
      </x:c>
      <x:c r="N1053" s="41" t="str"/>
    </x:row>
    <x:row r="1054">
      <x:c r="A1054" s="37" t="str">
        <x:f>"000519"</x:f>
        <x:v>000519</x:v>
      </x:c>
      <x:c r="B1054" s="38" t="str">
        <x:f>""</x:f>
      </x:c>
      <x:c r="C1054" s="38" t="str">
        <x:v>Unigres</x:v>
      </x:c>
      <x:c r="D1054" s="38" t="str">
        <x:f>""</x:f>
      </x:c>
      <x:c r="E1054" s="38" t="str">
        <x:f>"0551921134737"</x:f>
        <x:v>0551921134737</x:v>
      </x:c>
      <x:c r="F1054" s="38" t="str">
        <x:v>juridico.interno@unigres.com.br</x:v>
      </x:c>
      <x:c r="G1054" s="39" t="n">
        <x:v>46117</x:v>
      </x:c>
      <x:c r="H1054" s="16" t="str">
        <x:v>04/2026</x:v>
      </x:c>
      <x:c r="I1054" s="40" t="n">
        <x:v>1146.56</x:v>
      </x:c>
      <x:c r="J1054" s="40" t="n">
        <x:v>1265.33</x:v>
      </x:c>
      <x:c r="K1054" s="16" t="str">
        <x:v>Novo</x:v>
      </x:c>
      <x:c r="L1054" s="16" t="str">
        <x:v>Em aberto</x:v>
      </x:c>
      <x:c r="M1054" s="16" t="str">
        <x:v>02a1100e-0ef2-4a91-97a5-570bc921c7f9</x:v>
      </x:c>
      <x:c r="N1054" s="41" t="str"/>
    </x:row>
    <x:row r="1055">
      <x:c r="A1055" s="37" t="str">
        <x:f>"000519"</x:f>
        <x:v>000519</x:v>
      </x:c>
      <x:c r="B1055" s="38" t="str">
        <x:f>""</x:f>
      </x:c>
      <x:c r="C1055" s="38" t="str">
        <x:v>Unigres</x:v>
      </x:c>
      <x:c r="D1055" s="38" t="str">
        <x:f>""</x:f>
      </x:c>
      <x:c r="E1055" s="38" t="str">
        <x:f>"0551921134737"</x:f>
        <x:v>0551921134737</x:v>
      </x:c>
      <x:c r="F1055" s="38" t="str">
        <x:v>juridico.interno@unigres.com.br</x:v>
      </x:c>
      <x:c r="G1055" s="39" t="n">
        <x:v>46147</x:v>
      </x:c>
      <x:c r="H1055" s="16" t="str">
        <x:v>05/2026</x:v>
      </x:c>
      <x:c r="I1055" s="40" t="n">
        <x:v>1166.72</x:v>
      </x:c>
      <x:c r="J1055" s="40" t="n">
        <x:v>1241.65</x:v>
      </x:c>
      <x:c r="K1055" s="16" t="str">
        <x:v>Novo</x:v>
      </x:c>
      <x:c r="L1055" s="16" t="str">
        <x:v>Em aberto</x:v>
      </x:c>
      <x:c r="M1055" s="16" t="str">
        <x:v>d9e1e990-0705-455c-9982-660cd134a2e8</x:v>
      </x:c>
      <x:c r="N1055" s="41" t="str"/>
    </x:row>
    <x:row r="1056">
      <x:c r="A1056" s="37" t="str">
        <x:f>"000519"</x:f>
        <x:v>000519</x:v>
      </x:c>
      <x:c r="B1056" s="38" t="str">
        <x:f>""</x:f>
      </x:c>
      <x:c r="C1056" s="38" t="str">
        <x:v>Unigres</x:v>
      </x:c>
      <x:c r="D1056" s="38" t="str">
        <x:f>""</x:f>
      </x:c>
      <x:c r="E1056" s="38" t="str">
        <x:f>"0551921134737"</x:f>
        <x:v>0551921134737</x:v>
      </x:c>
      <x:c r="F1056" s="38" t="str">
        <x:v>juridico.interno@unigres.com.br</x:v>
      </x:c>
      <x:c r="G1056" s="39" t="n">
        <x:v>46178</x:v>
      </x:c>
      <x:c r="H1056" s="16" t="str">
        <x:v>06/2026</x:v>
      </x:c>
      <x:c r="I1056" s="40" t="n">
        <x:v>895.91</x:v>
      </x:c>
      <x:c r="J1056" s="40" t="n">
        <x:v>936.06</x:v>
      </x:c>
      <x:c r="K1056" s="16" t="str">
        <x:v>Novo</x:v>
      </x:c>
      <x:c r="L1056" s="16" t="str">
        <x:v>Em aberto</x:v>
      </x:c>
      <x:c r="M1056" s="16" t="str">
        <x:v>f0afe031-cd14-4672-a401-1d42361bb1aa</x:v>
      </x:c>
      <x:c r="N1056" s="41" t="str"/>
    </x:row>
    <x:row r="1057">
      <x:c r="A1057" s="37" t="str">
        <x:f>"000519"</x:f>
        <x:v>000519</x:v>
      </x:c>
      <x:c r="B1057" s="38" t="str">
        <x:f>""</x:f>
      </x:c>
      <x:c r="C1057" s="38" t="str">
        <x:v>Unigres</x:v>
      </x:c>
      <x:c r="D1057" s="38" t="str">
        <x:f>""</x:f>
      </x:c>
      <x:c r="E1057" s="38" t="str">
        <x:f>"0551921134737"</x:f>
        <x:v>0551921134737</x:v>
      </x:c>
      <x:c r="F1057" s="38" t="str">
        <x:v>juridico.interno@unigres.com.br</x:v>
      </x:c>
      <x:c r="G1057" s="39" t="n">
        <x:v>46208</x:v>
      </x:c>
      <x:c r="H1057" s="16" t="str">
        <x:v>07/2026</x:v>
      </x:c>
      <x:c r="I1057" s="40" t="n">
        <x:v>911.09</x:v>
      </x:c>
      <x:c r="J1057" s="40" t="n">
        <x:v>942.63</x:v>
      </x:c>
      <x:c r="K1057" s="16" t="str">
        <x:v>Novo</x:v>
      </x:c>
      <x:c r="L1057" s="16" t="str">
        <x:v>Em aberto</x:v>
      </x:c>
      <x:c r="M1057" s="16" t="str">
        <x:v>52e8d484-849e-4998-85e8-28b820f0293b</x:v>
      </x:c>
      <x:c r="N1057" s="41" t="str"/>
    </x:row>
    <x:row r="1058">
      <x:c r="A1058" s="37" t="str">
        <x:f>"000720"</x:f>
        <x:v>000720</x:v>
      </x:c>
      <x:c r="B1058" s="38" t="str">
        <x:f>""</x:f>
      </x:c>
      <x:c r="C1058" s="38" t="str">
        <x:v>Edvaldo Rodrigues Bitencourte</x:v>
      </x:c>
      <x:c r="D1058" s="38" t="str">
        <x:f>""</x:f>
      </x:c>
      <x:c r="E1058" s="38" t="str">
        <x:f>"05511985853180"</x:f>
        <x:v>05511985853180</x:v>
      </x:c>
      <x:c r="F1058" s="38" t="str">
        <x:v>edvaldo@sistecno.com.br</x:v>
      </x:c>
      <x:c r="G1058" s="39" t="n">
        <x:v>46027</x:v>
      </x:c>
      <x:c r="H1058" s="16" t="str">
        <x:v>01/2026</x:v>
      </x:c>
      <x:c r="I1058" s="40" t="n">
        <x:v>1887.1</x:v>
      </x:c>
      <x:c r="J1058" s="40" t="n">
        <x:v>2161.65</x:v>
      </x:c>
      <x:c r="K1058" s="16" t="str">
        <x:v>Novo</x:v>
      </x:c>
      <x:c r="L1058" s="16" t="str">
        <x:v>Em aberto</x:v>
      </x:c>
      <x:c r="M1058" s="16" t="str">
        <x:v>41756610-e0ec-4d96-9ec7-5f3a966cbbf0</x:v>
      </x:c>
      <x:c r="N1058" s="41" t="str"/>
    </x:row>
    <x:row r="1059">
      <x:c r="A1059" s="37" t="str">
        <x:f>"000720"</x:f>
        <x:v>000720</x:v>
      </x:c>
      <x:c r="B1059" s="38" t="str">
        <x:f>""</x:f>
      </x:c>
      <x:c r="C1059" s="38" t="str">
        <x:v>Edvaldo Rodrigues Bitencourte</x:v>
      </x:c>
      <x:c r="D1059" s="38" t="str">
        <x:f>""</x:f>
      </x:c>
      <x:c r="E1059" s="38" t="str">
        <x:f>"05511985853180"</x:f>
        <x:v>05511985853180</x:v>
      </x:c>
      <x:c r="F1059" s="38" t="str">
        <x:v>edvaldo@sistecno.com.br</x:v>
      </x:c>
      <x:c r="G1059" s="39" t="n">
        <x:v>46058</x:v>
      </x:c>
      <x:c r="H1059" s="16" t="str">
        <x:v>02/2026</x:v>
      </x:c>
      <x:c r="I1059" s="40" t="n">
        <x:v>1880.29</x:v>
      </x:c>
      <x:c r="J1059" s="40" t="n">
        <x:v>2124.77</x:v>
      </x:c>
      <x:c r="K1059" s="16" t="str">
        <x:v>Novo</x:v>
      </x:c>
      <x:c r="L1059" s="16" t="str">
        <x:v>Em aberto</x:v>
      </x:c>
      <x:c r="M1059" s="16" t="str">
        <x:v>8b924b10-2a22-4a9a-a8ca-fb6d939517a7</x:v>
      </x:c>
      <x:c r="N1059" s="41" t="str"/>
    </x:row>
    <x:row r="1060">
      <x:c r="A1060" s="37" t="str">
        <x:f>"000720"</x:f>
        <x:v>000720</x:v>
      </x:c>
      <x:c r="B1060" s="38" t="str">
        <x:f>""</x:f>
      </x:c>
      <x:c r="C1060" s="38" t="str">
        <x:v>Edvaldo Rodrigues Bitencourte</x:v>
      </x:c>
      <x:c r="D1060" s="38" t="str">
        <x:f>""</x:f>
      </x:c>
      <x:c r="E1060" s="38" t="str">
        <x:f>"05511985853180"</x:f>
        <x:v>05511985853180</x:v>
      </x:c>
      <x:c r="F1060" s="38" t="str">
        <x:v>edvaldo@sistecno.com.br</x:v>
      </x:c>
      <x:c r="G1060" s="39" t="n">
        <x:v>46086</x:v>
      </x:c>
      <x:c r="H1060" s="16" t="str">
        <x:v>03/2026</x:v>
      </x:c>
      <x:c r="I1060" s="40" t="n">
        <x:v>1889.9</x:v>
      </x:c>
      <x:c r="J1060" s="40" t="n">
        <x:v>2116.92</x:v>
      </x:c>
      <x:c r="K1060" s="16" t="str">
        <x:v>Novo</x:v>
      </x:c>
      <x:c r="L1060" s="16" t="str">
        <x:v>Em aberto</x:v>
      </x:c>
      <x:c r="M1060" s="16" t="str">
        <x:v>7e4db110-49d2-4192-b8b0-cf37f5c197aa</x:v>
      </x:c>
      <x:c r="N1060" s="41" t="str"/>
    </x:row>
    <x:row r="1061">
      <x:c r="A1061" s="37" t="str">
        <x:f>"000720"</x:f>
        <x:v>000720</x:v>
      </x:c>
      <x:c r="B1061" s="38" t="str">
        <x:f>""</x:f>
      </x:c>
      <x:c r="C1061" s="38" t="str">
        <x:v>Edvaldo Rodrigues Bitencourte</x:v>
      </x:c>
      <x:c r="D1061" s="38" t="str">
        <x:f>""</x:f>
      </x:c>
      <x:c r="E1061" s="38" t="str">
        <x:f>"05511985853180"</x:f>
        <x:v>05511985853180</x:v>
      </x:c>
      <x:c r="F1061" s="38" t="str">
        <x:v>edvaldo@sistecno.com.br</x:v>
      </x:c>
      <x:c r="G1061" s="39" t="n">
        <x:v>46117</x:v>
      </x:c>
      <x:c r="H1061" s="16" t="str">
        <x:v>04/2026</x:v>
      </x:c>
      <x:c r="I1061" s="40" t="n">
        <x:v>1895.21</x:v>
      </x:c>
      <x:c r="J1061" s="40" t="n">
        <x:v>2091.56</x:v>
      </x:c>
      <x:c r="K1061" s="16" t="str">
        <x:v>Novo</x:v>
      </x:c>
      <x:c r="L1061" s="16" t="str">
        <x:v>Em aberto</x:v>
      </x:c>
      <x:c r="M1061" s="16" t="str">
        <x:v>4a0f4e9b-c4d9-41bf-89f1-701415ef53e1</x:v>
      </x:c>
      <x:c r="N1061" s="41" t="str"/>
    </x:row>
    <x:row r="1062">
      <x:c r="A1062" s="37" t="str">
        <x:f>"000720"</x:f>
        <x:v>000720</x:v>
      </x:c>
      <x:c r="B1062" s="38" t="str">
        <x:f>""</x:f>
      </x:c>
      <x:c r="C1062" s="38" t="str">
        <x:v>Edvaldo Rodrigues Bitencourte</x:v>
      </x:c>
      <x:c r="D1062" s="38" t="str">
        <x:f>""</x:f>
      </x:c>
      <x:c r="E1062" s="38" t="str">
        <x:f>"05511985853180"</x:f>
        <x:v>05511985853180</x:v>
      </x:c>
      <x:c r="F1062" s="38" t="str">
        <x:v>edvaldo@sistecno.com.br</x:v>
      </x:c>
      <x:c r="G1062" s="39" t="n">
        <x:v>46147</x:v>
      </x:c>
      <x:c r="H1062" s="16" t="str">
        <x:v>05/2026</x:v>
      </x:c>
      <x:c r="I1062" s="40" t="n">
        <x:v>1947.97</x:v>
      </x:c>
      <x:c r="J1062" s="40" t="n">
        <x:v>2073.08</x:v>
      </x:c>
      <x:c r="K1062" s="16" t="str">
        <x:v>Novo</x:v>
      </x:c>
      <x:c r="L1062" s="16" t="str">
        <x:v>Em aberto</x:v>
      </x:c>
      <x:c r="M1062" s="16" t="str">
        <x:v>7de96ab0-036b-4a25-beac-40dcf0cb9c7e</x:v>
      </x:c>
      <x:c r="N1062" s="41" t="str"/>
    </x:row>
    <x:row r="1063">
      <x:c r="A1063" s="37" t="str">
        <x:f>"000720"</x:f>
        <x:v>000720</x:v>
      </x:c>
      <x:c r="B1063" s="38" t="str">
        <x:f>""</x:f>
      </x:c>
      <x:c r="C1063" s="38" t="str">
        <x:v>Edvaldo Rodrigues Bitencourte</x:v>
      </x:c>
      <x:c r="D1063" s="38" t="str">
        <x:f>""</x:f>
      </x:c>
      <x:c r="E1063" s="38" t="str">
        <x:f>"05511985853180"</x:f>
        <x:v>05511985853180</x:v>
      </x:c>
      <x:c r="F1063" s="38" t="str">
        <x:v>edvaldo@sistecno.com.br</x:v>
      </x:c>
      <x:c r="G1063" s="39" t="n">
        <x:v>46178</x:v>
      </x:c>
      <x:c r="H1063" s="16" t="str">
        <x:v>06/2026</x:v>
      </x:c>
      <x:c r="I1063" s="40" t="n">
        <x:v>1612.06</x:v>
      </x:c>
      <x:c r="J1063" s="40" t="n">
        <x:v>1684.33</x:v>
      </x:c>
      <x:c r="K1063" s="16" t="str">
        <x:v>Novo</x:v>
      </x:c>
      <x:c r="L1063" s="16" t="str">
        <x:v>Em aberto</x:v>
      </x:c>
      <x:c r="M1063" s="16" t="str">
        <x:v>5942dd6b-cc62-4316-91e1-b552654272cc</x:v>
      </x:c>
      <x:c r="N1063" s="41" t="str"/>
    </x:row>
    <x:row r="1064">
      <x:c r="A1064" s="37" t="str">
        <x:f>"000720"</x:f>
        <x:v>000720</x:v>
      </x:c>
      <x:c r="B1064" s="38" t="str">
        <x:f>""</x:f>
      </x:c>
      <x:c r="C1064" s="38" t="str">
        <x:v>Edvaldo Rodrigues Bitencourte</x:v>
      </x:c>
      <x:c r="D1064" s="38" t="str">
        <x:f>""</x:f>
      </x:c>
      <x:c r="E1064" s="38" t="str">
        <x:f>"05511985853180"</x:f>
        <x:v>05511985853180</x:v>
      </x:c>
      <x:c r="F1064" s="38" t="str">
        <x:v>edvaldo@sistecno.com.br</x:v>
      </x:c>
      <x:c r="G1064" s="39" t="n">
        <x:v>46208</x:v>
      </x:c>
      <x:c r="H1064" s="16" t="str">
        <x:v>07/2026</x:v>
      </x:c>
      <x:c r="I1064" s="40" t="n">
        <x:v>1029.21</x:v>
      </x:c>
      <x:c r="J1064" s="40" t="n">
        <x:v>1064.85</x:v>
      </x:c>
      <x:c r="K1064" s="16" t="str">
        <x:v>Novo</x:v>
      </x:c>
      <x:c r="L1064" s="16" t="str">
        <x:v>Em aberto</x:v>
      </x:c>
      <x:c r="M1064" s="16" t="str">
        <x:v>988e816f-f9c9-4d8d-beb1-59d7910536ee</x:v>
      </x:c>
      <x:c r="N1064" s="41" t="str"/>
    </x:row>
    <x:row r="1065">
      <x:c r="A1065" s="37" t="str">
        <x:f>"000801"</x:f>
        <x:v>000801</x:v>
      </x:c>
      <x:c r="B1065" s="38" t="str">
        <x:f>""</x:f>
      </x:c>
      <x:c r="C1065" s="38" t="str">
        <x:v>X PAPER COMERCIO E SERVICOS LTDA</x:v>
      </x:c>
      <x:c r="D1065" s="38" t="str">
        <x:f>""</x:f>
      </x:c>
      <x:c r="E1065" s="38" t="str">
        <x:f>""</x:f>
      </x:c>
      <x:c r="F1065" s="38" t="str"/>
      <x:c r="G1065" s="39" t="n">
        <x:v>46208</x:v>
      </x:c>
      <x:c r="H1065" s="16" t="str">
        <x:v>07/2026</x:v>
      </x:c>
      <x:c r="I1065" s="40" t="n">
        <x:v>1029.21</x:v>
      </x:c>
      <x:c r="J1065" s="40" t="n">
        <x:v>1064.85</x:v>
      </x:c>
      <x:c r="K1065" s="16" t="str">
        <x:v>Novo</x:v>
      </x:c>
      <x:c r="L1065" s="16" t="str">
        <x:v>Em aberto</x:v>
      </x:c>
      <x:c r="M1065" s="16" t="str">
        <x:v>1e5a3804-9589-4512-bee0-4613af077c02</x:v>
      </x:c>
      <x:c r="N1065" s="41" t="str"/>
    </x:row>
    <x:row r="1066">
      <x:c r="A1066" s="37" t="str">
        <x:f>"000911"</x:f>
        <x:v>000911</x:v>
      </x:c>
      <x:c r="B1066" s="38" t="str">
        <x:f>""</x:f>
      </x:c>
      <x:c r="C1066" s="38" t="str">
        <x:v>Débora Matos e Alexandre Lugani</x:v>
      </x:c>
      <x:c r="D1066" s="38" t="str">
        <x:f>""</x:f>
      </x:c>
      <x:c r="E1066" s="38" t="str">
        <x:f>"11998841756"</x:f>
        <x:v>11998841756</x:v>
      </x:c>
      <x:c r="F1066" s="38" t="str">
        <x:v>dmatos@finanzkredit.com.br</x:v>
      </x:c>
      <x:c r="G1066" s="39" t="n">
        <x:v>46208</x:v>
      </x:c>
      <x:c r="H1066" s="16" t="str">
        <x:v>07/2026</x:v>
      </x:c>
      <x:c r="I1066" s="40" t="n">
        <x:v>1029.21</x:v>
      </x:c>
      <x:c r="J1066" s="40" t="n">
        <x:v>1064.85</x:v>
      </x:c>
      <x:c r="K1066" s="16" t="str">
        <x:v>Novo</x:v>
      </x:c>
      <x:c r="L1066" s="16" t="str">
        <x:v>Em aberto</x:v>
      </x:c>
      <x:c r="M1066" s="16" t="str">
        <x:v>71329f68-a652-42c1-b86a-f23531276105</x:v>
      </x:c>
      <x:c r="N1066" s="41" t="str"/>
    </x:row>
    <x:row r="1067">
      <x:c r="A1067" s="37" t="str">
        <x:f>"001001"</x:f>
        <x:v>001001</x:v>
      </x:c>
      <x:c r="B1067" s="38" t="str">
        <x:f>""</x:f>
      </x:c>
      <x:c r="C1067" s="38" t="str">
        <x:v>Ellen Leone</x:v>
      </x:c>
      <x:c r="D1067" s="38" t="str">
        <x:f>""</x:f>
      </x:c>
      <x:c r="E1067" s="38" t="str">
        <x:f>"05511994191993"</x:f>
        <x:v>05511994191993</x:v>
      </x:c>
      <x:c r="F1067" s="38" t="str">
        <x:v>caueassis@gmail.com</x:v>
      </x:c>
      <x:c r="G1067" s="39" t="n">
        <x:v>46027</x:v>
      </x:c>
      <x:c r="H1067" s="16" t="str">
        <x:v>01/2026</x:v>
      </x:c>
      <x:c r="I1067" s="40" t="n">
        <x:v>1287.1</x:v>
      </x:c>
      <x:c r="J1067" s="40" t="n">
        <x:v>1474.36</x:v>
      </x:c>
      <x:c r="K1067" s="16" t="str">
        <x:v>Novo</x:v>
      </x:c>
      <x:c r="L1067" s="16" t="str">
        <x:v>Em aberto</x:v>
      </x:c>
      <x:c r="M1067" s="16" t="str">
        <x:v>5464f5a7-d555-40f4-befe-0ada2aeeba4e</x:v>
      </x:c>
      <x:c r="N1067" s="41" t="str"/>
    </x:row>
    <x:row r="1068">
      <x:c r="A1068" s="37" t="str">
        <x:f>"001001"</x:f>
        <x:v>001001</x:v>
      </x:c>
      <x:c r="B1068" s="38" t="str">
        <x:f>""</x:f>
      </x:c>
      <x:c r="C1068" s="38" t="str">
        <x:v>Ellen Leone</x:v>
      </x:c>
      <x:c r="D1068" s="38" t="str">
        <x:f>""</x:f>
      </x:c>
      <x:c r="E1068" s="38" t="str">
        <x:f>"05511994191993"</x:f>
        <x:v>05511994191993</x:v>
      </x:c>
      <x:c r="F1068" s="38" t="str">
        <x:v>caueassis@gmail.com</x:v>
      </x:c>
      <x:c r="G1068" s="39" t="n">
        <x:v>46058</x:v>
      </x:c>
      <x:c r="H1068" s="16" t="str">
        <x:v>02/2026</x:v>
      </x:c>
      <x:c r="I1068" s="40" t="n">
        <x:v>1280.29</x:v>
      </x:c>
      <x:c r="J1068" s="40" t="n">
        <x:v>1446.76</x:v>
      </x:c>
      <x:c r="K1068" s="16" t="str">
        <x:v>Novo</x:v>
      </x:c>
      <x:c r="L1068" s="16" t="str">
        <x:v>Em aberto</x:v>
      </x:c>
      <x:c r="M1068" s="16" t="str">
        <x:v>6452ff03-7b41-4778-bbe1-eba0a1f78178</x:v>
      </x:c>
      <x:c r="N1068" s="41" t="str"/>
    </x:row>
    <x:row r="1069">
      <x:c r="A1069" s="37" t="str">
        <x:f>"001001"</x:f>
        <x:v>001001</x:v>
      </x:c>
      <x:c r="B1069" s="38" t="str">
        <x:f>""</x:f>
      </x:c>
      <x:c r="C1069" s="38" t="str">
        <x:v>Ellen Leone</x:v>
      </x:c>
      <x:c r="D1069" s="38" t="str">
        <x:f>""</x:f>
      </x:c>
      <x:c r="E1069" s="38" t="str">
        <x:f>"05511994191993"</x:f>
        <x:v>05511994191993</x:v>
      </x:c>
      <x:c r="F1069" s="38" t="str">
        <x:v>caueassis@gmail.com</x:v>
      </x:c>
      <x:c r="G1069" s="39" t="n">
        <x:v>46086</x:v>
      </x:c>
      <x:c r="H1069" s="16" t="str">
        <x:v>03/2026</x:v>
      </x:c>
      <x:c r="I1069" s="40" t="n">
        <x:v>1270.9</x:v>
      </x:c>
      <x:c r="J1069" s="40" t="n">
        <x:v>1423.57</x:v>
      </x:c>
      <x:c r="K1069" s="16" t="str">
        <x:v>Novo</x:v>
      </x:c>
      <x:c r="L1069" s="16" t="str">
        <x:v>Em aberto</x:v>
      </x:c>
      <x:c r="M1069" s="16" t="str">
        <x:v>70463cbc-c0fe-4615-81ff-2fa6a765d0a2</x:v>
      </x:c>
      <x:c r="N1069" s="41" t="str"/>
    </x:row>
    <x:row r="1070">
      <x:c r="A1070" s="37" t="str">
        <x:f>"001001"</x:f>
        <x:v>001001</x:v>
      </x:c>
      <x:c r="B1070" s="38" t="str">
        <x:f>""</x:f>
      </x:c>
      <x:c r="C1070" s="38" t="str">
        <x:v>Ellen Leone</x:v>
      </x:c>
      <x:c r="D1070" s="38" t="str">
        <x:f>""</x:f>
      </x:c>
      <x:c r="E1070" s="38" t="str">
        <x:f>"05511994191993"</x:f>
        <x:v>05511994191993</x:v>
      </x:c>
      <x:c r="F1070" s="38" t="str">
        <x:v>caueassis@gmail.com</x:v>
      </x:c>
      <x:c r="G1070" s="39" t="n">
        <x:v>46117</x:v>
      </x:c>
      <x:c r="H1070" s="16" t="str">
        <x:v>04/2026</x:v>
      </x:c>
      <x:c r="I1070" s="40" t="n">
        <x:v>1295.21</x:v>
      </x:c>
      <x:c r="J1070" s="40" t="n">
        <x:v>1429.4</x:v>
      </x:c>
      <x:c r="K1070" s="16" t="str">
        <x:v>Novo</x:v>
      </x:c>
      <x:c r="L1070" s="16" t="str">
        <x:v>Em aberto</x:v>
      </x:c>
      <x:c r="M1070" s="16" t="str">
        <x:v>0fce8a20-afa1-4103-9587-79f60329dcfa</x:v>
      </x:c>
      <x:c r="N1070" s="41" t="str"/>
    </x:row>
    <x:row r="1071">
      <x:c r="A1071" s="37" t="str">
        <x:f>"001001"</x:f>
        <x:v>001001</x:v>
      </x:c>
      <x:c r="B1071" s="38" t="str">
        <x:f>""</x:f>
      </x:c>
      <x:c r="C1071" s="38" t="str">
        <x:v>Ellen Leone</x:v>
      </x:c>
      <x:c r="D1071" s="38" t="str">
        <x:f>""</x:f>
      </x:c>
      <x:c r="E1071" s="38" t="str">
        <x:f>"05511994191993"</x:f>
        <x:v>05511994191993</x:v>
      </x:c>
      <x:c r="F1071" s="38" t="str">
        <x:v>caueassis@gmail.com</x:v>
      </x:c>
      <x:c r="G1071" s="39" t="n">
        <x:v>46147</x:v>
      </x:c>
      <x:c r="H1071" s="16" t="str">
        <x:v>05/2026</x:v>
      </x:c>
      <x:c r="I1071" s="40" t="n">
        <x:v>1317.97</x:v>
      </x:c>
      <x:c r="J1071" s="40" t="n">
        <x:v>1402.62</x:v>
      </x:c>
      <x:c r="K1071" s="16" t="str">
        <x:v>Novo</x:v>
      </x:c>
      <x:c r="L1071" s="16" t="str">
        <x:v>Em aberto</x:v>
      </x:c>
      <x:c r="M1071" s="16" t="str">
        <x:v>9b2cc56b-8352-412c-8997-f1144b4a594a</x:v>
      </x:c>
      <x:c r="N1071" s="41" t="str"/>
    </x:row>
    <x:row r="1072">
      <x:c r="A1072" s="37" t="str">
        <x:f>"001001"</x:f>
        <x:v>001001</x:v>
      </x:c>
      <x:c r="B1072" s="38" t="str">
        <x:f>""</x:f>
      </x:c>
      <x:c r="C1072" s="38" t="str">
        <x:v>Ellen Leone</x:v>
      </x:c>
      <x:c r="D1072" s="38" t="str">
        <x:f>""</x:f>
      </x:c>
      <x:c r="E1072" s="38" t="str">
        <x:f>"05511994191993"</x:f>
        <x:v>05511994191993</x:v>
      </x:c>
      <x:c r="F1072" s="38" t="str">
        <x:v>caueassis@gmail.com</x:v>
      </x:c>
      <x:c r="G1072" s="39" t="n">
        <x:v>46178</x:v>
      </x:c>
      <x:c r="H1072" s="16" t="str">
        <x:v>06/2026</x:v>
      </x:c>
      <x:c r="I1072" s="40" t="n">
        <x:v>1012.06</x:v>
      </x:c>
      <x:c r="J1072" s="40" t="n">
        <x:v>1057.44</x:v>
      </x:c>
      <x:c r="K1072" s="16" t="str">
        <x:v>Novo</x:v>
      </x:c>
      <x:c r="L1072" s="16" t="str">
        <x:v>Em aberto</x:v>
      </x:c>
      <x:c r="M1072" s="16" t="str">
        <x:v>1f0ef38c-e9f0-4a92-a01d-91da48e39d03</x:v>
      </x:c>
      <x:c r="N1072" s="41" t="str"/>
    </x:row>
    <x:row r="1073">
      <x:c r="A1073" s="37" t="str">
        <x:f>"001001"</x:f>
        <x:v>001001</x:v>
      </x:c>
      <x:c r="B1073" s="38" t="str">
        <x:f>""</x:f>
      </x:c>
      <x:c r="C1073" s="38" t="str">
        <x:v>Ellen Leone</x:v>
      </x:c>
      <x:c r="D1073" s="38" t="str">
        <x:f>""</x:f>
      </x:c>
      <x:c r="E1073" s="38" t="str">
        <x:f>"05511994191993"</x:f>
        <x:v>05511994191993</x:v>
      </x:c>
      <x:c r="F1073" s="38" t="str">
        <x:v>caueassis@gmail.com</x:v>
      </x:c>
      <x:c r="G1073" s="39" t="n">
        <x:v>46208</x:v>
      </x:c>
      <x:c r="H1073" s="16" t="str">
        <x:v>07/2026</x:v>
      </x:c>
      <x:c r="I1073" s="40" t="n">
        <x:v>1029.21</x:v>
      </x:c>
      <x:c r="J1073" s="40" t="n">
        <x:v>1064.85</x:v>
      </x:c>
      <x:c r="K1073" s="16" t="str">
        <x:v>Novo</x:v>
      </x:c>
      <x:c r="L1073" s="16" t="str">
        <x:v>Em aberto</x:v>
      </x:c>
      <x:c r="M1073" s="16" t="str">
        <x:v>db2d2d7f-617c-4aec-82e8-bb4b0db10306</x:v>
      </x:c>
      <x:c r="N1073" s="41" t="str"/>
    </x:row>
    <x:row r="1074">
      <x:c r="A1074" s="37" t="str">
        <x:f>"001109"</x:f>
        <x:v>001109</x:v>
      </x:c>
      <x:c r="B1074" s="38" t="str">
        <x:f>""</x:f>
      </x:c>
      <x:c r="C1074" s="38" t="str">
        <x:v>MAURICIO GONCALVES DE SOUZA</x:v>
      </x:c>
      <x:c r="D1074" s="38" t="str">
        <x:f>""</x:f>
      </x:c>
      <x:c r="E1074" s="38" t="str">
        <x:f>"0551141539716"</x:f>
        <x:v>0551141539716</x:v>
      </x:c>
      <x:c r="F1074" s="38" t="str">
        <x:v>valdirene.mendes@terra.com.br</x:v>
      </x:c>
      <x:c r="G1074" s="39" t="n">
        <x:v>46117</x:v>
      </x:c>
      <x:c r="H1074" s="16" t="str">
        <x:v>04/2026</x:v>
      </x:c>
      <x:c r="I1074" s="40" t="n">
        <x:v>1146.56</x:v>
      </x:c>
      <x:c r="J1074" s="40" t="n">
        <x:v>1265.33</x:v>
      </x:c>
      <x:c r="K1074" s="16" t="str">
        <x:v>Novo</x:v>
      </x:c>
      <x:c r="L1074" s="16" t="str">
        <x:v>Em aberto</x:v>
      </x:c>
      <x:c r="M1074" s="16" t="str">
        <x:v>9522d9aa-7200-467c-940c-57f274abad5a</x:v>
      </x:c>
      <x:c r="N1074" s="41" t="str"/>
    </x:row>
    <x:row r="1075">
      <x:c r="A1075" s="37" t="str">
        <x:f>"001109"</x:f>
        <x:v>001109</x:v>
      </x:c>
      <x:c r="B1075" s="38" t="str">
        <x:f>""</x:f>
      </x:c>
      <x:c r="C1075" s="38" t="str">
        <x:v>MAURICIO GONCALVES DE SOUZA</x:v>
      </x:c>
      <x:c r="D1075" s="38" t="str">
        <x:f>""</x:f>
      </x:c>
      <x:c r="E1075" s="38" t="str">
        <x:f>"0551141539716"</x:f>
        <x:v>0551141539716</x:v>
      </x:c>
      <x:c r="F1075" s="38" t="str">
        <x:v>valdirene.mendes@terra.com.br</x:v>
      </x:c>
      <x:c r="G1075" s="39" t="n">
        <x:v>46147</x:v>
      </x:c>
      <x:c r="H1075" s="16" t="str">
        <x:v>05/2026</x:v>
      </x:c>
      <x:c r="I1075" s="40" t="n">
        <x:v>1166.72</x:v>
      </x:c>
      <x:c r="J1075" s="40" t="n">
        <x:v>1241.65</x:v>
      </x:c>
      <x:c r="K1075" s="16" t="str">
        <x:v>Novo</x:v>
      </x:c>
      <x:c r="L1075" s="16" t="str">
        <x:v>Em aberto</x:v>
      </x:c>
      <x:c r="M1075" s="16" t="str">
        <x:v>31312818-2d55-409c-9d45-6540f2db601f</x:v>
      </x:c>
      <x:c r="N1075" s="41" t="str"/>
    </x:row>
    <x:row r="1076">
      <x:c r="A1076" s="37" t="str">
        <x:f>"001117"</x:f>
        <x:v>001117</x:v>
      </x:c>
      <x:c r="B1076" s="38" t="str">
        <x:f>""</x:f>
      </x:c>
      <x:c r="C1076" s="38" t="str">
        <x:v>SILAS LACERDA LEMES</x:v>
      </x:c>
      <x:c r="D1076" s="38" t="str">
        <x:f>""</x:f>
      </x:c>
      <x:c r="E1076" s="38" t="str">
        <x:f>"11982663906"</x:f>
        <x:v>11982663906</x:v>
      </x:c>
      <x:c r="F1076" s="38" t="str">
        <x:v>denise.martins@toysinternational.toys</x:v>
      </x:c>
      <x:c r="G1076" s="39" t="n">
        <x:v>46086</x:v>
      </x:c>
      <x:c r="H1076" s="16" t="str">
        <x:v>03/2026</x:v>
      </x:c>
      <x:c r="I1076" s="40" t="n">
        <x:v>1217.92</x:v>
      </x:c>
      <x:c r="J1076" s="40" t="n">
        <x:v>1364.2</x:v>
      </x:c>
      <x:c r="K1076" s="16" t="str">
        <x:v>Novo</x:v>
      </x:c>
      <x:c r="L1076" s="16" t="str">
        <x:v>Em aberto</x:v>
      </x:c>
      <x:c r="M1076" s="16" t="str">
        <x:v>2ff8716c-fbb1-4ba4-9be9-a2812c09ce93</x:v>
      </x:c>
      <x:c r="N1076" s="41" t="str"/>
    </x:row>
    <x:row r="1077">
      <x:c r="A1077" s="37" t="str">
        <x:f>"001117"</x:f>
        <x:v>001117</x:v>
      </x:c>
      <x:c r="B1077" s="38" t="str">
        <x:f>""</x:f>
      </x:c>
      <x:c r="C1077" s="38" t="str">
        <x:v>SILAS LACERDA LEMES</x:v>
      </x:c>
      <x:c r="D1077" s="38" t="str">
        <x:f>""</x:f>
      </x:c>
      <x:c r="E1077" s="38" t="str">
        <x:f>"11982663906"</x:f>
        <x:v>11982663906</x:v>
      </x:c>
      <x:c r="F1077" s="38" t="str">
        <x:v>denise.martins@toysinternational.toys</x:v>
      </x:c>
      <x:c r="G1077" s="39" t="n">
        <x:v>46117</x:v>
      </x:c>
      <x:c r="H1077" s="16" t="str">
        <x:v>04/2026</x:v>
      </x:c>
      <x:c r="I1077" s="40" t="n">
        <x:v>1241.22</x:v>
      </x:c>
      <x:c r="J1077" s="40" t="n">
        <x:v>1369.81</x:v>
      </x:c>
      <x:c r="K1077" s="16" t="str">
        <x:v>Novo</x:v>
      </x:c>
      <x:c r="L1077" s="16" t="str">
        <x:v>Em aberto</x:v>
      </x:c>
      <x:c r="M1077" s="16" t="str">
        <x:v>4296e410-718b-48a8-bf3f-80bec0250050</x:v>
      </x:c>
      <x:c r="N1077" s="41" t="str"/>
    </x:row>
    <x:row r="1078">
      <x:c r="A1078" s="37" t="str">
        <x:f>"001117"</x:f>
        <x:v>001117</x:v>
      </x:c>
      <x:c r="B1078" s="38" t="str">
        <x:f>""</x:f>
      </x:c>
      <x:c r="C1078" s="38" t="str">
        <x:v>SILAS LACERDA LEMES</x:v>
      </x:c>
      <x:c r="D1078" s="38" t="str">
        <x:f>""</x:f>
      </x:c>
      <x:c r="E1078" s="38" t="str">
        <x:f>"11982663906"</x:f>
        <x:v>11982663906</x:v>
      </x:c>
      <x:c r="F1078" s="38" t="str">
        <x:v>denise.martins@toysinternational.toys</x:v>
      </x:c>
      <x:c r="G1078" s="39" t="n">
        <x:v>46147</x:v>
      </x:c>
      <x:c r="H1078" s="16" t="str">
        <x:v>05/2026</x:v>
      </x:c>
      <x:c r="I1078" s="40" t="n">
        <x:v>1263.04</x:v>
      </x:c>
      <x:c r="J1078" s="40" t="n">
        <x:v>1344.16</x:v>
      </x:c>
      <x:c r="K1078" s="16" t="str">
        <x:v>Novo</x:v>
      </x:c>
      <x:c r="L1078" s="16" t="str">
        <x:v>Em aberto</x:v>
      </x:c>
      <x:c r="M1078" s="16" t="str">
        <x:v>c20a0833-9782-4364-9079-84933420655c</x:v>
      </x:c>
      <x:c r="N1078" s="41" t="str"/>
    </x:row>
    <x:row r="1079">
      <x:c r="A1079" s="37" t="str">
        <x:f>"001206"</x:f>
        <x:v>001206</x:v>
      </x:c>
      <x:c r="B1079" s="38" t="str">
        <x:f>""</x:f>
      </x:c>
      <x:c r="C1079" s="38" t="str">
        <x:v>RODRIGO AURICCHIO GERALDO</x:v>
      </x:c>
      <x:c r="D1079" s="38" t="str">
        <x:f>""</x:f>
      </x:c>
      <x:c r="E1079" s="38" t="str">
        <x:f>"13981385112"</x:f>
        <x:v>13981385112</x:v>
      </x:c>
      <x:c r="F1079" s="38" t="str">
        <x:v>rodrigoag2@hotmail.com</x:v>
      </x:c>
      <x:c r="G1079" s="39" t="n">
        <x:v>46178</x:v>
      </x:c>
      <x:c r="H1079" s="16" t="str">
        <x:v>06/2026</x:v>
      </x:c>
      <x:c r="I1079" s="40" t="n">
        <x:v>1287.61</x:v>
      </x:c>
      <x:c r="J1079" s="40" t="n">
        <x:v>1345.33</x:v>
      </x:c>
      <x:c r="K1079" s="16" t="str">
        <x:v>Novo</x:v>
      </x:c>
      <x:c r="L1079" s="16" t="str">
        <x:v>Em aberto</x:v>
      </x:c>
      <x:c r="M1079" s="16" t="str">
        <x:v>91079e0a-090f-4a39-80e6-45900cbf860a</x:v>
      </x:c>
      <x:c r="N1079" s="41" t="str"/>
    </x:row>
    <x:row r="1080">
      <x:c r="A1080" s="37" t="str">
        <x:f>"001401"</x:f>
        <x:v>001401</x:v>
      </x:c>
      <x:c r="B1080" s="38" t="str">
        <x:f>""</x:f>
      </x:c>
      <x:c r="C1080" s="38" t="str">
        <x:v>Construtora Gustavo Halbreich</x:v>
      </x:c>
      <x:c r="D1080" s="38" t="str">
        <x:f>""</x:f>
      </x:c>
      <x:c r="E1080" s="38" t="str">
        <x:f>"0551136345611"</x:f>
        <x:v>0551136345611</x:v>
      </x:c>
      <x:c r="F1080" s="38" t="str">
        <x:v>ana.greco@halbreich.com.br</x:v>
      </x:c>
      <x:c r="G1080" s="39" t="n">
        <x:v>46178</x:v>
      </x:c>
      <x:c r="H1080" s="16" t="str">
        <x:v>06/2026</x:v>
      </x:c>
      <x:c r="I1080" s="40" t="n">
        <x:v>1012.06</x:v>
      </x:c>
      <x:c r="J1080" s="40" t="n">
        <x:v>1057.44</x:v>
      </x:c>
      <x:c r="K1080" s="16" t="str">
        <x:v>Novo</x:v>
      </x:c>
      <x:c r="L1080" s="16" t="str">
        <x:v>Em aberto</x:v>
      </x:c>
      <x:c r="M1080" s="16" t="str">
        <x:v>15b03323-98d0-4f37-9481-978d30f1bac6</x:v>
      </x:c>
      <x:c r="N1080" s="41" t="str"/>
    </x:row>
    <x:row r="1081">
      <x:c r="A1081" s="37" t="str">
        <x:f>"001401"</x:f>
        <x:v>001401</x:v>
      </x:c>
      <x:c r="B1081" s="38" t="str">
        <x:f>""</x:f>
      </x:c>
      <x:c r="C1081" s="38" t="str">
        <x:v>Construtora Gustavo Halbreich</x:v>
      </x:c>
      <x:c r="D1081" s="38" t="str">
        <x:f>""</x:f>
      </x:c>
      <x:c r="E1081" s="38" t="str">
        <x:f>"0551136345611"</x:f>
        <x:v>0551136345611</x:v>
      </x:c>
      <x:c r="F1081" s="38" t="str">
        <x:v>ana.greco@halbreich.com.br</x:v>
      </x:c>
      <x:c r="G1081" s="39" t="n">
        <x:v>46208</x:v>
      </x:c>
      <x:c r="H1081" s="16" t="str">
        <x:v>07/2026</x:v>
      </x:c>
      <x:c r="I1081" s="40" t="n">
        <x:v>1029.21</x:v>
      </x:c>
      <x:c r="J1081" s="40" t="n">
        <x:v>1064.85</x:v>
      </x:c>
      <x:c r="K1081" s="16" t="str">
        <x:v>Novo</x:v>
      </x:c>
      <x:c r="L1081" s="16" t="str">
        <x:v>Em aberto</x:v>
      </x:c>
      <x:c r="M1081" s="16" t="str">
        <x:v>8e188a59-751d-4807-9b1d-7be8b9fe632f</x:v>
      </x:c>
      <x:c r="N1081" s="41" t="str"/>
    </x:row>
    <x:row r="1082">
      <x:c r="A1082" s="37" t="str">
        <x:f>"001402"</x:f>
        <x:v>001402</x:v>
      </x:c>
      <x:c r="B1082" s="38" t="str">
        <x:f>""</x:f>
      </x:c>
      <x:c r="C1082" s="38" t="str">
        <x:v>RN14 EMPREEND. IMOBILARIOS LTDA</x:v>
      </x:c>
      <x:c r="D1082" s="38" t="str">
        <x:f>""</x:f>
      </x:c>
      <x:c r="E1082" s="38" t="str">
        <x:f>"0551136345611"</x:f>
        <x:v>0551136345611</x:v>
      </x:c>
      <x:c r="F1082" s="38" t="str">
        <x:v>ana.greco@halbreich.com.br</x:v>
      </x:c>
      <x:c r="G1082" s="39" t="n">
        <x:v>46178</x:v>
      </x:c>
      <x:c r="H1082" s="16" t="str">
        <x:v>06/2026</x:v>
      </x:c>
      <x:c r="I1082" s="40" t="n">
        <x:v>895.91</x:v>
      </x:c>
      <x:c r="J1082" s="40" t="n">
        <x:v>936.06</x:v>
      </x:c>
      <x:c r="K1082" s="16" t="str">
        <x:v>Novo</x:v>
      </x:c>
      <x:c r="L1082" s="16" t="str">
        <x:v>Em aberto</x:v>
      </x:c>
      <x:c r="M1082" s="16" t="str">
        <x:v>55efb9e0-a1a1-4357-a783-19893b371097</x:v>
      </x:c>
      <x:c r="N1082" s="41" t="str"/>
    </x:row>
    <x:row r="1083">
      <x:c r="A1083" s="37" t="str">
        <x:f>"001402"</x:f>
        <x:v>001402</x:v>
      </x:c>
      <x:c r="B1083" s="38" t="str">
        <x:f>""</x:f>
      </x:c>
      <x:c r="C1083" s="38" t="str">
        <x:v>RN14 EMPREEND. IMOBILARIOS LTDA</x:v>
      </x:c>
      <x:c r="D1083" s="38" t="str">
        <x:f>""</x:f>
      </x:c>
      <x:c r="E1083" s="38" t="str">
        <x:f>"0551136345611"</x:f>
        <x:v>0551136345611</x:v>
      </x:c>
      <x:c r="F1083" s="38" t="str">
        <x:v>ana.greco@halbreich.com.br</x:v>
      </x:c>
      <x:c r="G1083" s="39" t="n">
        <x:v>46208</x:v>
      </x:c>
      <x:c r="H1083" s="16" t="str">
        <x:v>07/2026</x:v>
      </x:c>
      <x:c r="I1083" s="40" t="n">
        <x:v>911.09</x:v>
      </x:c>
      <x:c r="J1083" s="40" t="n">
        <x:v>942.63</x:v>
      </x:c>
      <x:c r="K1083" s="16" t="str">
        <x:v>Novo</x:v>
      </x:c>
      <x:c r="L1083" s="16" t="str">
        <x:v>Em aberto</x:v>
      </x:c>
      <x:c r="M1083" s="16" t="str">
        <x:v>667d8771-55b7-4f10-aae2-6631f3dcd0ca</x:v>
      </x:c>
      <x:c r="N1083" s="41" t="str"/>
    </x:row>
    <x:row r="1084">
      <x:c r="A1084" s="37" t="str">
        <x:f>"001403"</x:f>
        <x:v>001403</x:v>
      </x:c>
      <x:c r="B1084" s="38" t="str">
        <x:f>""</x:f>
      </x:c>
      <x:c r="C1084" s="38" t="str">
        <x:v>RN14 EMPREEND. IMOBILARIOS LTDA</x:v>
      </x:c>
      <x:c r="D1084" s="38" t="str">
        <x:f>""</x:f>
      </x:c>
      <x:c r="E1084" s="38" t="str">
        <x:f>"0551136345611"</x:f>
        <x:v>0551136345611</x:v>
      </x:c>
      <x:c r="F1084" s="38" t="str">
        <x:v>ana.greco@halbreich.com.br</x:v>
      </x:c>
      <x:c r="G1084" s="39" t="n">
        <x:v>46178</x:v>
      </x:c>
      <x:c r="H1084" s="16" t="str">
        <x:v>06/2026</x:v>
      </x:c>
      <x:c r="I1084" s="40" t="n">
        <x:v>895.91</x:v>
      </x:c>
      <x:c r="J1084" s="40" t="n">
        <x:v>936.06</x:v>
      </x:c>
      <x:c r="K1084" s="16" t="str">
        <x:v>Novo</x:v>
      </x:c>
      <x:c r="L1084" s="16" t="str">
        <x:v>Em aberto</x:v>
      </x:c>
      <x:c r="M1084" s="16" t="str">
        <x:v>bb09908c-045f-499c-a68f-980e6f175d69</x:v>
      </x:c>
      <x:c r="N1084" s="41" t="str"/>
    </x:row>
    <x:row r="1085">
      <x:c r="A1085" s="37" t="str">
        <x:f>"001403"</x:f>
        <x:v>001403</x:v>
      </x:c>
      <x:c r="B1085" s="38" t="str">
        <x:f>""</x:f>
      </x:c>
      <x:c r="C1085" s="38" t="str">
        <x:v>RN14 EMPREEND. IMOBILARIOS LTDA</x:v>
      </x:c>
      <x:c r="D1085" s="38" t="str">
        <x:f>""</x:f>
      </x:c>
      <x:c r="E1085" s="38" t="str">
        <x:f>"0551136345611"</x:f>
        <x:v>0551136345611</x:v>
      </x:c>
      <x:c r="F1085" s="38" t="str">
        <x:v>ana.greco@halbreich.com.br</x:v>
      </x:c>
      <x:c r="G1085" s="39" t="n">
        <x:v>46208</x:v>
      </x:c>
      <x:c r="H1085" s="16" t="str">
        <x:v>07/2026</x:v>
      </x:c>
      <x:c r="I1085" s="40" t="n">
        <x:v>911.09</x:v>
      </x:c>
      <x:c r="J1085" s="40" t="n">
        <x:v>942.63</x:v>
      </x:c>
      <x:c r="K1085" s="16" t="str">
        <x:v>Novo</x:v>
      </x:c>
      <x:c r="L1085" s="16" t="str">
        <x:v>Em aberto</x:v>
      </x:c>
      <x:c r="M1085" s="16" t="str">
        <x:v>5ba63716-fc9b-46f3-a3ba-939aeada85fc</x:v>
      </x:c>
      <x:c r="N1085" s="41" t="str"/>
    </x:row>
    <x:row r="1086">
      <x:c r="A1086" s="37" t="str">
        <x:f>"001404"</x:f>
        <x:v>001404</x:v>
      </x:c>
      <x:c r="B1086" s="38" t="str">
        <x:f>""</x:f>
      </x:c>
      <x:c r="C1086" s="38" t="str">
        <x:v>RN14 EMPREEND. IMOBILARIOS LTDA</x:v>
      </x:c>
      <x:c r="D1086" s="38" t="str">
        <x:f>""</x:f>
      </x:c>
      <x:c r="E1086" s="38" t="str">
        <x:f>"0551136345611"</x:f>
        <x:v>0551136345611</x:v>
      </x:c>
      <x:c r="F1086" s="38" t="str">
        <x:v>ana.greco@halbreich.com.br</x:v>
      </x:c>
      <x:c r="G1086" s="39" t="n">
        <x:v>46178</x:v>
      </x:c>
      <x:c r="H1086" s="16" t="str">
        <x:v>06/2026</x:v>
      </x:c>
      <x:c r="I1086" s="40" t="n">
        <x:v>969.87</x:v>
      </x:c>
      <x:c r="J1086" s="40" t="n">
        <x:v>1013.34</x:v>
      </x:c>
      <x:c r="K1086" s="16" t="str">
        <x:v>Novo</x:v>
      </x:c>
      <x:c r="L1086" s="16" t="str">
        <x:v>Em aberto</x:v>
      </x:c>
      <x:c r="M1086" s="16" t="str">
        <x:v>7d084def-6d5d-4f3c-95bc-1ac7db223a2f</x:v>
      </x:c>
      <x:c r="N1086" s="41" t="str"/>
    </x:row>
    <x:row r="1087">
      <x:c r="A1087" s="37" t="str">
        <x:f>"001404"</x:f>
        <x:v>001404</x:v>
      </x:c>
      <x:c r="B1087" s="38" t="str">
        <x:f>""</x:f>
      </x:c>
      <x:c r="C1087" s="38" t="str">
        <x:v>RN14 EMPREEND. IMOBILARIOS LTDA</x:v>
      </x:c>
      <x:c r="D1087" s="38" t="str">
        <x:f>""</x:f>
      </x:c>
      <x:c r="E1087" s="38" t="str">
        <x:f>"0551136345611"</x:f>
        <x:v>0551136345611</x:v>
      </x:c>
      <x:c r="F1087" s="38" t="str">
        <x:v>ana.greco@halbreich.com.br</x:v>
      </x:c>
      <x:c r="G1087" s="39" t="n">
        <x:v>46208</x:v>
      </x:c>
      <x:c r="H1087" s="16" t="str">
        <x:v>07/2026</x:v>
      </x:c>
      <x:c r="I1087" s="40" t="n">
        <x:v>986.31</x:v>
      </x:c>
      <x:c r="J1087" s="40" t="n">
        <x:v>1020.46</x:v>
      </x:c>
      <x:c r="K1087" s="16" t="str">
        <x:v>Novo</x:v>
      </x:c>
      <x:c r="L1087" s="16" t="str">
        <x:v>Em aberto</x:v>
      </x:c>
      <x:c r="M1087" s="16" t="str">
        <x:v>785e4176-2cb8-459c-92bc-cf266220e4bc</x:v>
      </x:c>
      <x:c r="N1087" s="41" t="str"/>
    </x:row>
    <x:row r="1088">
      <x:c r="A1088" s="37" t="str">
        <x:f>"001405"</x:f>
        <x:v>001405</x:v>
      </x:c>
      <x:c r="B1088" s="38" t="str">
        <x:f>""</x:f>
      </x:c>
      <x:c r="C1088" s="38" t="str">
        <x:v>Construtora Gustavo Halbreich</x:v>
      </x:c>
      <x:c r="D1088" s="38" t="str">
        <x:f>""</x:f>
      </x:c>
      <x:c r="E1088" s="38" t="str">
        <x:f>"0551136345611"</x:f>
        <x:v>0551136345611</x:v>
      </x:c>
      <x:c r="F1088" s="38" t="str">
        <x:v>ana.greco@halbreich.com.br</x:v>
      </x:c>
      <x:c r="G1088" s="39" t="n">
        <x:v>46178</x:v>
      </x:c>
      <x:c r="H1088" s="16" t="str">
        <x:v>06/2026</x:v>
      </x:c>
      <x:c r="I1088" s="40" t="n">
        <x:v>1208.61</x:v>
      </x:c>
      <x:c r="J1088" s="40" t="n">
        <x:v>1262.79</x:v>
      </x:c>
      <x:c r="K1088" s="16" t="str">
        <x:v>Novo</x:v>
      </x:c>
      <x:c r="L1088" s="16" t="str">
        <x:v>Em aberto</x:v>
      </x:c>
      <x:c r="M1088" s="16" t="str">
        <x:v>93c8b4ff-cefd-4cae-b1e9-11f5e73c527a</x:v>
      </x:c>
      <x:c r="N1088" s="41" t="str"/>
    </x:row>
    <x:row r="1089">
      <x:c r="A1089" s="37" t="str">
        <x:f>"001405"</x:f>
        <x:v>001405</x:v>
      </x:c>
      <x:c r="B1089" s="38" t="str">
        <x:f>""</x:f>
      </x:c>
      <x:c r="C1089" s="38" t="str">
        <x:v>Construtora Gustavo Halbreich</x:v>
      </x:c>
      <x:c r="D1089" s="38" t="str">
        <x:f>""</x:f>
      </x:c>
      <x:c r="E1089" s="38" t="str">
        <x:f>"0551136345611"</x:f>
        <x:v>0551136345611</x:v>
      </x:c>
      <x:c r="F1089" s="38" t="str">
        <x:v>ana.greco@halbreich.com.br</x:v>
      </x:c>
      <x:c r="G1089" s="39" t="n">
        <x:v>46208</x:v>
      </x:c>
      <x:c r="H1089" s="16" t="str">
        <x:v>07/2026</x:v>
      </x:c>
      <x:c r="I1089" s="40" t="n">
        <x:v>1229.09</x:v>
      </x:c>
      <x:c r="J1089" s="40" t="n">
        <x:v>1271.65</x:v>
      </x:c>
      <x:c r="K1089" s="16" t="str">
        <x:v>Novo</x:v>
      </x:c>
      <x:c r="L1089" s="16" t="str">
        <x:v>Em aberto</x:v>
      </x:c>
      <x:c r="M1089" s="16" t="str">
        <x:v>6ab37662-bf08-4c42-9948-553fc8b08552</x:v>
      </x:c>
      <x:c r="N1089" s="41" t="str"/>
    </x:row>
    <x:row r="1090">
      <x:c r="A1090" s="37" t="str">
        <x:f>"001406"</x:f>
        <x:v>001406</x:v>
      </x:c>
      <x:c r="B1090" s="38" t="str">
        <x:f>""</x:f>
      </x:c>
      <x:c r="C1090" s="38" t="str">
        <x:v>Construtora Gustavo Halbreich</x:v>
      </x:c>
      <x:c r="D1090" s="38" t="str">
        <x:f>""</x:f>
      </x:c>
      <x:c r="E1090" s="38" t="str">
        <x:f>"0551136345611"</x:f>
        <x:v>0551136345611</x:v>
      </x:c>
      <x:c r="F1090" s="38" t="str">
        <x:v>ana.greco@halbreich.com.br</x:v>
      </x:c>
      <x:c r="G1090" s="39" t="n">
        <x:v>46178</x:v>
      </x:c>
      <x:c r="H1090" s="16" t="str">
        <x:v>06/2026</x:v>
      </x:c>
      <x:c r="I1090" s="40" t="n">
        <x:v>1208.61</x:v>
      </x:c>
      <x:c r="J1090" s="40" t="n">
        <x:v>1262.79</x:v>
      </x:c>
      <x:c r="K1090" s="16" t="str">
        <x:v>Novo</x:v>
      </x:c>
      <x:c r="L1090" s="16" t="str">
        <x:v>Em aberto</x:v>
      </x:c>
      <x:c r="M1090" s="16" t="str">
        <x:v>d612c2b1-e8fb-4f32-ab7e-ee0a17878ec9</x:v>
      </x:c>
      <x:c r="N1090" s="41" t="str"/>
    </x:row>
    <x:row r="1091">
      <x:c r="A1091" s="37" t="str">
        <x:f>"001406"</x:f>
        <x:v>001406</x:v>
      </x:c>
      <x:c r="B1091" s="38" t="str">
        <x:f>""</x:f>
      </x:c>
      <x:c r="C1091" s="38" t="str">
        <x:v>Construtora Gustavo Halbreich</x:v>
      </x:c>
      <x:c r="D1091" s="38" t="str">
        <x:f>""</x:f>
      </x:c>
      <x:c r="E1091" s="38" t="str">
        <x:f>"0551136345611"</x:f>
        <x:v>0551136345611</x:v>
      </x:c>
      <x:c r="F1091" s="38" t="str">
        <x:v>ana.greco@halbreich.com.br</x:v>
      </x:c>
      <x:c r="G1091" s="39" t="n">
        <x:v>46208</x:v>
      </x:c>
      <x:c r="H1091" s="16" t="str">
        <x:v>07/2026</x:v>
      </x:c>
      <x:c r="I1091" s="40" t="n">
        <x:v>1229.09</x:v>
      </x:c>
      <x:c r="J1091" s="40" t="n">
        <x:v>1271.65</x:v>
      </x:c>
      <x:c r="K1091" s="16" t="str">
        <x:v>Novo</x:v>
      </x:c>
      <x:c r="L1091" s="16" t="str">
        <x:v>Em aberto</x:v>
      </x:c>
      <x:c r="M1091" s="16" t="str">
        <x:v>7f880447-e10c-4372-9329-12a7272208e4</x:v>
      </x:c>
      <x:c r="N1091" s="41" t="str"/>
    </x:row>
    <x:row r="1092">
      <x:c r="A1092" s="37" t="str">
        <x:f>"001407"</x:f>
        <x:v>001407</x:v>
      </x:c>
      <x:c r="B1092" s="38" t="str">
        <x:f>""</x:f>
      </x:c>
      <x:c r="C1092" s="38" t="str">
        <x:v>RN14 EMPREEND. IMOBILARIOS LTDA</x:v>
      </x:c>
      <x:c r="D1092" s="38" t="str">
        <x:f>""</x:f>
      </x:c>
      <x:c r="E1092" s="38" t="str">
        <x:f>"0551136345611"</x:f>
        <x:v>0551136345611</x:v>
      </x:c>
      <x:c r="F1092" s="38" t="str">
        <x:v>ana.greco@halbreich.com.br</x:v>
      </x:c>
      <x:c r="G1092" s="39" t="n">
        <x:v>46178</x:v>
      </x:c>
      <x:c r="H1092" s="16" t="str">
        <x:v>06/2026</x:v>
      </x:c>
      <x:c r="I1092" s="40" t="n">
        <x:v>969.87</x:v>
      </x:c>
      <x:c r="J1092" s="40" t="n">
        <x:v>1013.34</x:v>
      </x:c>
      <x:c r="K1092" s="16" t="str">
        <x:v>Novo</x:v>
      </x:c>
      <x:c r="L1092" s="16" t="str">
        <x:v>Em aberto</x:v>
      </x:c>
      <x:c r="M1092" s="16" t="str">
        <x:v>490b39f8-b584-45ae-975a-a52f18e77516</x:v>
      </x:c>
      <x:c r="N1092" s="41" t="str"/>
    </x:row>
    <x:row r="1093">
      <x:c r="A1093" s="37" t="str">
        <x:f>"001407"</x:f>
        <x:v>001407</x:v>
      </x:c>
      <x:c r="B1093" s="38" t="str">
        <x:f>""</x:f>
      </x:c>
      <x:c r="C1093" s="38" t="str">
        <x:v>RN14 EMPREEND. IMOBILARIOS LTDA</x:v>
      </x:c>
      <x:c r="D1093" s="38" t="str">
        <x:f>""</x:f>
      </x:c>
      <x:c r="E1093" s="38" t="str">
        <x:f>"0551136345611"</x:f>
        <x:v>0551136345611</x:v>
      </x:c>
      <x:c r="F1093" s="38" t="str">
        <x:v>ana.greco@halbreich.com.br</x:v>
      </x:c>
      <x:c r="G1093" s="39" t="n">
        <x:v>46208</x:v>
      </x:c>
      <x:c r="H1093" s="16" t="str">
        <x:v>07/2026</x:v>
      </x:c>
      <x:c r="I1093" s="40" t="n">
        <x:v>986.31</x:v>
      </x:c>
      <x:c r="J1093" s="40" t="n">
        <x:v>1020.46</x:v>
      </x:c>
      <x:c r="K1093" s="16" t="str">
        <x:v>Novo</x:v>
      </x:c>
      <x:c r="L1093" s="16" t="str">
        <x:v>Em aberto</x:v>
      </x:c>
      <x:c r="M1093" s="16" t="str">
        <x:v>84188ad7-c3ab-4213-a879-2a47391db605</x:v>
      </x:c>
      <x:c r="N1093" s="41" t="str"/>
    </x:row>
    <x:row r="1094">
      <x:c r="A1094" s="37" t="str">
        <x:f>"001408"</x:f>
        <x:v>001408</x:v>
      </x:c>
      <x:c r="B1094" s="38" t="str">
        <x:f>""</x:f>
      </x:c>
      <x:c r="C1094" s="38" t="str">
        <x:v>RN14 EMPREEND. IMOBILARIOS LTDA</x:v>
      </x:c>
      <x:c r="D1094" s="38" t="str">
        <x:f>""</x:f>
      </x:c>
      <x:c r="E1094" s="38" t="str">
        <x:f>"0551136345611"</x:f>
        <x:v>0551136345611</x:v>
      </x:c>
      <x:c r="F1094" s="38" t="str">
        <x:v>ana.greco@halbreich.com.br</x:v>
      </x:c>
      <x:c r="G1094" s="39" t="n">
        <x:v>46178</x:v>
      </x:c>
      <x:c r="H1094" s="16" t="str">
        <x:v>06/2026</x:v>
      </x:c>
      <x:c r="I1094" s="40" t="n">
        <x:v>895.91</x:v>
      </x:c>
      <x:c r="J1094" s="40" t="n">
        <x:v>936.06</x:v>
      </x:c>
      <x:c r="K1094" s="16" t="str">
        <x:v>Novo</x:v>
      </x:c>
      <x:c r="L1094" s="16" t="str">
        <x:v>Em aberto</x:v>
      </x:c>
      <x:c r="M1094" s="16" t="str">
        <x:v>ea5120eb-4de2-494d-978f-090995b57840</x:v>
      </x:c>
      <x:c r="N1094" s="41" t="str"/>
    </x:row>
    <x:row r="1095">
      <x:c r="A1095" s="37" t="str">
        <x:f>"001408"</x:f>
        <x:v>001408</x:v>
      </x:c>
      <x:c r="B1095" s="38" t="str">
        <x:f>""</x:f>
      </x:c>
      <x:c r="C1095" s="38" t="str">
        <x:v>RN14 EMPREEND. IMOBILARIOS LTDA</x:v>
      </x:c>
      <x:c r="D1095" s="38" t="str">
        <x:f>""</x:f>
      </x:c>
      <x:c r="E1095" s="38" t="str">
        <x:f>"0551136345611"</x:f>
        <x:v>0551136345611</x:v>
      </x:c>
      <x:c r="F1095" s="38" t="str">
        <x:v>ana.greco@halbreich.com.br</x:v>
      </x:c>
      <x:c r="G1095" s="39" t="n">
        <x:v>46208</x:v>
      </x:c>
      <x:c r="H1095" s="16" t="str">
        <x:v>07/2026</x:v>
      </x:c>
      <x:c r="I1095" s="40" t="n">
        <x:v>911.09</x:v>
      </x:c>
      <x:c r="J1095" s="40" t="n">
        <x:v>942.63</x:v>
      </x:c>
      <x:c r="K1095" s="16" t="str">
        <x:v>Novo</x:v>
      </x:c>
      <x:c r="L1095" s="16" t="str">
        <x:v>Em aberto</x:v>
      </x:c>
      <x:c r="M1095" s="16" t="str">
        <x:v>fb50cc10-3f2b-4032-be1d-37676c90a586</x:v>
      </x:c>
      <x:c r="N1095" s="41" t="str"/>
    </x:row>
    <x:row r="1096">
      <x:c r="A1096" s="37" t="str">
        <x:f>"001409"</x:f>
        <x:v>001409</x:v>
      </x:c>
      <x:c r="B1096" s="38" t="str">
        <x:f>""</x:f>
      </x:c>
      <x:c r="C1096" s="38" t="str">
        <x:v>Construtora Gustavo Halbreich</x:v>
      </x:c>
      <x:c r="D1096" s="38" t="str">
        <x:f>""</x:f>
      </x:c>
      <x:c r="E1096" s="38" t="str">
        <x:f>"0551136345611"</x:f>
        <x:v>0551136345611</x:v>
      </x:c>
      <x:c r="F1096" s="38" t="str">
        <x:v>ana.greco@halbreich.com.br</x:v>
      </x:c>
      <x:c r="G1096" s="39" t="n">
        <x:v>46178</x:v>
      </x:c>
      <x:c r="H1096" s="16" t="str">
        <x:v>06/2026</x:v>
      </x:c>
      <x:c r="I1096" s="40" t="n">
        <x:v>895.91</x:v>
      </x:c>
      <x:c r="J1096" s="40" t="n">
        <x:v>936.06</x:v>
      </x:c>
      <x:c r="K1096" s="16" t="str">
        <x:v>Novo</x:v>
      </x:c>
      <x:c r="L1096" s="16" t="str">
        <x:v>Em aberto</x:v>
      </x:c>
      <x:c r="M1096" s="16" t="str">
        <x:v>cd8b98e8-f9cb-4876-a252-da31aed94604</x:v>
      </x:c>
      <x:c r="N1096" s="41" t="str"/>
    </x:row>
    <x:row r="1097">
      <x:c r="A1097" s="37" t="str">
        <x:f>"001409"</x:f>
        <x:v>001409</x:v>
      </x:c>
      <x:c r="B1097" s="38" t="str">
        <x:f>""</x:f>
      </x:c>
      <x:c r="C1097" s="38" t="str">
        <x:v>Construtora Gustavo Halbreich</x:v>
      </x:c>
      <x:c r="D1097" s="38" t="str">
        <x:f>""</x:f>
      </x:c>
      <x:c r="E1097" s="38" t="str">
        <x:f>"0551136345611"</x:f>
        <x:v>0551136345611</x:v>
      </x:c>
      <x:c r="F1097" s="38" t="str">
        <x:v>ana.greco@halbreich.com.br</x:v>
      </x:c>
      <x:c r="G1097" s="39" t="n">
        <x:v>46208</x:v>
      </x:c>
      <x:c r="H1097" s="16" t="str">
        <x:v>07/2026</x:v>
      </x:c>
      <x:c r="I1097" s="40" t="n">
        <x:v>911.09</x:v>
      </x:c>
      <x:c r="J1097" s="40" t="n">
        <x:v>942.63</x:v>
      </x:c>
      <x:c r="K1097" s="16" t="str">
        <x:v>Novo</x:v>
      </x:c>
      <x:c r="L1097" s="16" t="str">
        <x:v>Em aberto</x:v>
      </x:c>
      <x:c r="M1097" s="16" t="str">
        <x:v>9e83e360-25e6-4ceb-84c6-3d7d45019371</x:v>
      </x:c>
      <x:c r="N1097" s="41" t="str"/>
    </x:row>
    <x:row r="1098">
      <x:c r="A1098" s="37" t="str">
        <x:f>"001410"</x:f>
        <x:v>001410</x:v>
      </x:c>
      <x:c r="B1098" s="38" t="str">
        <x:f>""</x:f>
      </x:c>
      <x:c r="C1098" s="38" t="str">
        <x:v>Construtora Gustavo Halbreich</x:v>
      </x:c>
      <x:c r="D1098" s="38" t="str">
        <x:f>""</x:f>
      </x:c>
      <x:c r="E1098" s="38" t="str">
        <x:f>"0551136345611"</x:f>
        <x:v>0551136345611</x:v>
      </x:c>
      <x:c r="F1098" s="38" t="str">
        <x:v>ana.greco@halbreich.com.br</x:v>
      </x:c>
      <x:c r="G1098" s="39" t="n">
        <x:v>46178</x:v>
      </x:c>
      <x:c r="H1098" s="16" t="str">
        <x:v>06/2026</x:v>
      </x:c>
      <x:c r="I1098" s="40" t="n">
        <x:v>1012.06</x:v>
      </x:c>
      <x:c r="J1098" s="40" t="n">
        <x:v>1057.44</x:v>
      </x:c>
      <x:c r="K1098" s="16" t="str">
        <x:v>Novo</x:v>
      </x:c>
      <x:c r="L1098" s="16" t="str">
        <x:v>Em aberto</x:v>
      </x:c>
      <x:c r="M1098" s="16" t="str">
        <x:v>07959a1b-dc8d-40b0-96e7-498f6e14dc24</x:v>
      </x:c>
      <x:c r="N1098" s="41" t="str"/>
    </x:row>
    <x:row r="1099">
      <x:c r="A1099" s="37" t="str">
        <x:f>"001410"</x:f>
        <x:v>001410</x:v>
      </x:c>
      <x:c r="B1099" s="38" t="str">
        <x:f>""</x:f>
      </x:c>
      <x:c r="C1099" s="38" t="str">
        <x:v>Construtora Gustavo Halbreich</x:v>
      </x:c>
      <x:c r="D1099" s="38" t="str">
        <x:f>""</x:f>
      </x:c>
      <x:c r="E1099" s="38" t="str">
        <x:f>"0551136345611"</x:f>
        <x:v>0551136345611</x:v>
      </x:c>
      <x:c r="F1099" s="38" t="str">
        <x:v>ana.greco@halbreich.com.br</x:v>
      </x:c>
      <x:c r="G1099" s="39" t="n">
        <x:v>46208</x:v>
      </x:c>
      <x:c r="H1099" s="16" t="str">
        <x:v>07/2026</x:v>
      </x:c>
      <x:c r="I1099" s="40" t="n">
        <x:v>1029.21</x:v>
      </x:c>
      <x:c r="J1099" s="40" t="n">
        <x:v>1064.85</x:v>
      </x:c>
      <x:c r="K1099" s="16" t="str">
        <x:v>Novo</x:v>
      </x:c>
      <x:c r="L1099" s="16" t="str">
        <x:v>Em aberto</x:v>
      </x:c>
      <x:c r="M1099" s="16" t="str">
        <x:v>53ba4c9a-5d0a-41df-af7b-d796b4ef30b3</x:v>
      </x:c>
      <x:c r="N1099" s="41" t="str"/>
    </x:row>
    <x:row r="1100">
      <x:c r="A1100" s="37" t="str">
        <x:f>"001411"</x:f>
        <x:v>001411</x:v>
      </x:c>
      <x:c r="B1100" s="38" t="str">
        <x:f>""</x:f>
      </x:c>
      <x:c r="C1100" s="38" t="str">
        <x:v>RN14 EMPREEND. IMOBILARIOS LTDA</x:v>
      </x:c>
      <x:c r="D1100" s="38" t="str">
        <x:f>""</x:f>
      </x:c>
      <x:c r="E1100" s="38" t="str">
        <x:f>"0551136345611"</x:f>
        <x:v>0551136345611</x:v>
      </x:c>
      <x:c r="F1100" s="38" t="str">
        <x:v>ana.greco@halbreich.com.br</x:v>
      </x:c>
      <x:c r="G1100" s="39" t="n">
        <x:v>46178</x:v>
      </x:c>
      <x:c r="H1100" s="16" t="str">
        <x:v>06/2026</x:v>
      </x:c>
      <x:c r="I1100" s="40" t="n">
        <x:v>1012.06</x:v>
      </x:c>
      <x:c r="J1100" s="40" t="n">
        <x:v>1057.44</x:v>
      </x:c>
      <x:c r="K1100" s="16" t="str">
        <x:v>Novo</x:v>
      </x:c>
      <x:c r="L1100" s="16" t="str">
        <x:v>Em aberto</x:v>
      </x:c>
      <x:c r="M1100" s="16" t="str">
        <x:v>89954417-ed86-49ca-9ced-163f9765a5b3</x:v>
      </x:c>
      <x:c r="N1100" s="41" t="str"/>
    </x:row>
    <x:row r="1101">
      <x:c r="A1101" s="37" t="str">
        <x:f>"001411"</x:f>
        <x:v>001411</x:v>
      </x:c>
      <x:c r="B1101" s="38" t="str">
        <x:f>""</x:f>
      </x:c>
      <x:c r="C1101" s="38" t="str">
        <x:v>RN14 EMPREEND. IMOBILARIOS LTDA</x:v>
      </x:c>
      <x:c r="D1101" s="38" t="str">
        <x:f>""</x:f>
      </x:c>
      <x:c r="E1101" s="38" t="str">
        <x:f>"0551136345611"</x:f>
        <x:v>0551136345611</x:v>
      </x:c>
      <x:c r="F1101" s="38" t="str">
        <x:v>ana.greco@halbreich.com.br</x:v>
      </x:c>
      <x:c r="G1101" s="39" t="n">
        <x:v>46208</x:v>
      </x:c>
      <x:c r="H1101" s="16" t="str">
        <x:v>07/2026</x:v>
      </x:c>
      <x:c r="I1101" s="40" t="n">
        <x:v>1029.21</x:v>
      </x:c>
      <x:c r="J1101" s="40" t="n">
        <x:v>1064.85</x:v>
      </x:c>
      <x:c r="K1101" s="16" t="str">
        <x:v>Novo</x:v>
      </x:c>
      <x:c r="L1101" s="16" t="str">
        <x:v>Em aberto</x:v>
      </x:c>
      <x:c r="M1101" s="16" t="str">
        <x:v>1d75f2de-4ea7-48c1-8437-b8c5345add10</x:v>
      </x:c>
      <x:c r="N1101" s="41" t="str"/>
    </x:row>
    <x:row r="1102">
      <x:c r="A1102" s="37" t="str">
        <x:f>"001412"</x:f>
        <x:v>001412</x:v>
      </x:c>
      <x:c r="B1102" s="38" t="str">
        <x:f>""</x:f>
      </x:c>
      <x:c r="C1102" s="38" t="str">
        <x:v>Construtora Gustavo Halbreich</x:v>
      </x:c>
      <x:c r="D1102" s="38" t="str">
        <x:f>""</x:f>
      </x:c>
      <x:c r="E1102" s="38" t="str">
        <x:f>"0551136345611"</x:f>
        <x:v>0551136345611</x:v>
      </x:c>
      <x:c r="F1102" s="38" t="str">
        <x:v>ana.greco@halbreich.com.br</x:v>
      </x:c>
      <x:c r="G1102" s="39" t="n">
        <x:v>46178</x:v>
      </x:c>
      <x:c r="H1102" s="16" t="str">
        <x:v>06/2026</x:v>
      </x:c>
      <x:c r="I1102" s="40" t="n">
        <x:v>895.91</x:v>
      </x:c>
      <x:c r="J1102" s="40" t="n">
        <x:v>936.06</x:v>
      </x:c>
      <x:c r="K1102" s="16" t="str">
        <x:v>Novo</x:v>
      </x:c>
      <x:c r="L1102" s="16" t="str">
        <x:v>Em aberto</x:v>
      </x:c>
      <x:c r="M1102" s="16" t="str">
        <x:v>00358e91-6fbc-4ddf-94f5-32bf8dbd32fe</x:v>
      </x:c>
      <x:c r="N1102" s="41" t="str"/>
    </x:row>
    <x:row r="1103">
      <x:c r="A1103" s="37" t="str">
        <x:f>"001412"</x:f>
        <x:v>001412</x:v>
      </x:c>
      <x:c r="B1103" s="38" t="str">
        <x:f>""</x:f>
      </x:c>
      <x:c r="C1103" s="38" t="str">
        <x:v>Construtora Gustavo Halbreich</x:v>
      </x:c>
      <x:c r="D1103" s="38" t="str">
        <x:f>""</x:f>
      </x:c>
      <x:c r="E1103" s="38" t="str">
        <x:f>"0551136345611"</x:f>
        <x:v>0551136345611</x:v>
      </x:c>
      <x:c r="F1103" s="38" t="str">
        <x:v>ana.greco@halbreich.com.br</x:v>
      </x:c>
      <x:c r="G1103" s="39" t="n">
        <x:v>46208</x:v>
      </x:c>
      <x:c r="H1103" s="16" t="str">
        <x:v>07/2026</x:v>
      </x:c>
      <x:c r="I1103" s="40" t="n">
        <x:v>911.09</x:v>
      </x:c>
      <x:c r="J1103" s="40" t="n">
        <x:v>942.63</x:v>
      </x:c>
      <x:c r="K1103" s="16" t="str">
        <x:v>Novo</x:v>
      </x:c>
      <x:c r="L1103" s="16" t="str">
        <x:v>Em aberto</x:v>
      </x:c>
      <x:c r="M1103" s="16" t="str">
        <x:v>85992b31-72bb-4cf5-8873-ad6281d2dd99</x:v>
      </x:c>
      <x:c r="N1103" s="41" t="str"/>
    </x:row>
    <x:row r="1104">
      <x:c r="A1104" s="37" t="str">
        <x:f>"001413"</x:f>
        <x:v>001413</x:v>
      </x:c>
      <x:c r="B1104" s="38" t="str">
        <x:f>""</x:f>
      </x:c>
      <x:c r="C1104" s="38" t="str">
        <x:v>Construtora Gustavo Halbreich</x:v>
      </x:c>
      <x:c r="D1104" s="38" t="str">
        <x:f>""</x:f>
      </x:c>
      <x:c r="E1104" s="38" t="str">
        <x:f>"0551136345611"</x:f>
        <x:v>0551136345611</x:v>
      </x:c>
      <x:c r="F1104" s="38" t="str">
        <x:v>ana.greco@halbreich.com.br</x:v>
      </x:c>
      <x:c r="G1104" s="39" t="n">
        <x:v>46178</x:v>
      </x:c>
      <x:c r="H1104" s="16" t="str">
        <x:v>06/2026</x:v>
      </x:c>
      <x:c r="I1104" s="40" t="n">
        <x:v>895.91</x:v>
      </x:c>
      <x:c r="J1104" s="40" t="n">
        <x:v>936.06</x:v>
      </x:c>
      <x:c r="K1104" s="16" t="str">
        <x:v>Novo</x:v>
      </x:c>
      <x:c r="L1104" s="16" t="str">
        <x:v>Em aberto</x:v>
      </x:c>
      <x:c r="M1104" s="16" t="str">
        <x:v>53cf84de-1c94-4066-bb3c-5584e3b0db98</x:v>
      </x:c>
      <x:c r="N1104" s="41" t="str"/>
    </x:row>
    <x:row r="1105">
      <x:c r="A1105" s="37" t="str">
        <x:f>"001413"</x:f>
        <x:v>001413</x:v>
      </x:c>
      <x:c r="B1105" s="38" t="str">
        <x:f>""</x:f>
      </x:c>
      <x:c r="C1105" s="38" t="str">
        <x:v>Construtora Gustavo Halbreich</x:v>
      </x:c>
      <x:c r="D1105" s="38" t="str">
        <x:f>""</x:f>
      </x:c>
      <x:c r="E1105" s="38" t="str">
        <x:f>"0551136345611"</x:f>
        <x:v>0551136345611</x:v>
      </x:c>
      <x:c r="F1105" s="38" t="str">
        <x:v>ana.greco@halbreich.com.br</x:v>
      </x:c>
      <x:c r="G1105" s="39" t="n">
        <x:v>46208</x:v>
      </x:c>
      <x:c r="H1105" s="16" t="str">
        <x:v>07/2026</x:v>
      </x:c>
      <x:c r="I1105" s="40" t="n">
        <x:v>911.09</x:v>
      </x:c>
      <x:c r="J1105" s="40" t="n">
        <x:v>942.63</x:v>
      </x:c>
      <x:c r="K1105" s="16" t="str">
        <x:v>Novo</x:v>
      </x:c>
      <x:c r="L1105" s="16" t="str">
        <x:v>Em aberto</x:v>
      </x:c>
      <x:c r="M1105" s="16" t="str">
        <x:v>0600282e-ac30-41b0-aa57-6dd1088fb205</x:v>
      </x:c>
      <x:c r="N1105" s="41" t="str"/>
    </x:row>
    <x:row r="1106">
      <x:c r="A1106" s="37" t="str">
        <x:f>"001414"</x:f>
        <x:v>001414</x:v>
      </x:c>
      <x:c r="B1106" s="38" t="str">
        <x:f>""</x:f>
      </x:c>
      <x:c r="C1106" s="38" t="str">
        <x:v>RN14 EMPREEND. IMOBILARIOS LTDA</x:v>
      </x:c>
      <x:c r="D1106" s="38" t="str">
        <x:f>""</x:f>
      </x:c>
      <x:c r="E1106" s="38" t="str">
        <x:f>"0551136345611"</x:f>
        <x:v>0551136345611</x:v>
      </x:c>
      <x:c r="F1106" s="38" t="str">
        <x:v>ana.greco@halbreich.com.br</x:v>
      </x:c>
      <x:c r="G1106" s="39" t="n">
        <x:v>46178</x:v>
      </x:c>
      <x:c r="H1106" s="16" t="str">
        <x:v>06/2026</x:v>
      </x:c>
      <x:c r="I1106" s="40" t="n">
        <x:v>969.87</x:v>
      </x:c>
      <x:c r="J1106" s="40" t="n">
        <x:v>1013.34</x:v>
      </x:c>
      <x:c r="K1106" s="16" t="str">
        <x:v>Novo</x:v>
      </x:c>
      <x:c r="L1106" s="16" t="str">
        <x:v>Em aberto</x:v>
      </x:c>
      <x:c r="M1106" s="16" t="str">
        <x:v>6a94d12f-d269-496f-bd15-c6504d36c759</x:v>
      </x:c>
      <x:c r="N1106" s="41" t="str"/>
    </x:row>
    <x:row r="1107">
      <x:c r="A1107" s="37" t="str">
        <x:f>"001414"</x:f>
        <x:v>001414</x:v>
      </x:c>
      <x:c r="B1107" s="38" t="str">
        <x:f>""</x:f>
      </x:c>
      <x:c r="C1107" s="38" t="str">
        <x:v>RN14 EMPREEND. IMOBILARIOS LTDA</x:v>
      </x:c>
      <x:c r="D1107" s="38" t="str">
        <x:f>""</x:f>
      </x:c>
      <x:c r="E1107" s="38" t="str">
        <x:f>"0551136345611"</x:f>
        <x:v>0551136345611</x:v>
      </x:c>
      <x:c r="F1107" s="38" t="str">
        <x:v>ana.greco@halbreich.com.br</x:v>
      </x:c>
      <x:c r="G1107" s="39" t="n">
        <x:v>46208</x:v>
      </x:c>
      <x:c r="H1107" s="16" t="str">
        <x:v>07/2026</x:v>
      </x:c>
      <x:c r="I1107" s="40" t="n">
        <x:v>986.31</x:v>
      </x:c>
      <x:c r="J1107" s="40" t="n">
        <x:v>1020.46</x:v>
      </x:c>
      <x:c r="K1107" s="16" t="str">
        <x:v>Novo</x:v>
      </x:c>
      <x:c r="L1107" s="16" t="str">
        <x:v>Em aberto</x:v>
      </x:c>
      <x:c r="M1107" s="16" t="str">
        <x:v>117f572a-949b-4606-976e-03c9f584f8e5</x:v>
      </x:c>
      <x:c r="N1107" s="41" t="str"/>
    </x:row>
    <x:row r="1108">
      <x:c r="A1108" s="37" t="str">
        <x:f>"001415"</x:f>
        <x:v>001415</x:v>
      </x:c>
      <x:c r="B1108" s="38" t="str">
        <x:f>""</x:f>
      </x:c>
      <x:c r="C1108" s="38" t="str">
        <x:v>RN14 EMPREEND. IMOBILARIOS LTDA</x:v>
      </x:c>
      <x:c r="D1108" s="38" t="str">
        <x:f>""</x:f>
      </x:c>
      <x:c r="E1108" s="38" t="str">
        <x:f>"0551136345611"</x:f>
        <x:v>0551136345611</x:v>
      </x:c>
      <x:c r="F1108" s="38" t="str">
        <x:v>ana.greco@halbreich.com.br</x:v>
      </x:c>
      <x:c r="G1108" s="39" t="n">
        <x:v>46178</x:v>
      </x:c>
      <x:c r="H1108" s="16" t="str">
        <x:v>06/2026</x:v>
      </x:c>
      <x:c r="I1108" s="40" t="n">
        <x:v>1208.61</x:v>
      </x:c>
      <x:c r="J1108" s="40" t="n">
        <x:v>1262.79</x:v>
      </x:c>
      <x:c r="K1108" s="16" t="str">
        <x:v>Novo</x:v>
      </x:c>
      <x:c r="L1108" s="16" t="str">
        <x:v>Em aberto</x:v>
      </x:c>
      <x:c r="M1108" s="16" t="str">
        <x:v>c93f8ded-5f9f-4ac4-930b-528d07172443</x:v>
      </x:c>
      <x:c r="N1108" s="41" t="str"/>
    </x:row>
    <x:row r="1109">
      <x:c r="A1109" s="37" t="str">
        <x:f>"001415"</x:f>
        <x:v>001415</x:v>
      </x:c>
      <x:c r="B1109" s="38" t="str">
        <x:f>""</x:f>
      </x:c>
      <x:c r="C1109" s="38" t="str">
        <x:v>RN14 EMPREEND. IMOBILARIOS LTDA</x:v>
      </x:c>
      <x:c r="D1109" s="38" t="str">
        <x:f>""</x:f>
      </x:c>
      <x:c r="E1109" s="38" t="str">
        <x:f>"0551136345611"</x:f>
        <x:v>0551136345611</x:v>
      </x:c>
      <x:c r="F1109" s="38" t="str">
        <x:v>ana.greco@halbreich.com.br</x:v>
      </x:c>
      <x:c r="G1109" s="39" t="n">
        <x:v>46208</x:v>
      </x:c>
      <x:c r="H1109" s="16" t="str">
        <x:v>07/2026</x:v>
      </x:c>
      <x:c r="I1109" s="40" t="n">
        <x:v>1229.09</x:v>
      </x:c>
      <x:c r="J1109" s="40" t="n">
        <x:v>1271.65</x:v>
      </x:c>
      <x:c r="K1109" s="16" t="str">
        <x:v>Novo</x:v>
      </x:c>
      <x:c r="L1109" s="16" t="str">
        <x:v>Em aberto</x:v>
      </x:c>
      <x:c r="M1109" s="16" t="str">
        <x:v>f3d98300-02b2-4689-8c68-afb04282587b</x:v>
      </x:c>
      <x:c r="N1109" s="41" t="str"/>
    </x:row>
    <x:row r="1110">
      <x:c r="A1110" s="37" t="str">
        <x:f>"001416"</x:f>
        <x:v>001416</x:v>
      </x:c>
      <x:c r="B1110" s="38" t="str">
        <x:f>""</x:f>
      </x:c>
      <x:c r="C1110" s="38" t="str">
        <x:v>RN14 EMPREEND. IMOBILARIOS LTDA</x:v>
      </x:c>
      <x:c r="D1110" s="38" t="str">
        <x:f>""</x:f>
      </x:c>
      <x:c r="E1110" s="38" t="str">
        <x:f>"0551136345611"</x:f>
        <x:v>0551136345611</x:v>
      </x:c>
      <x:c r="F1110" s="38" t="str">
        <x:v>ana.greco@halbreich.com.br</x:v>
      </x:c>
      <x:c r="G1110" s="39" t="n">
        <x:v>46178</x:v>
      </x:c>
      <x:c r="H1110" s="16" t="str">
        <x:v>06/2026</x:v>
      </x:c>
      <x:c r="I1110" s="40" t="n">
        <x:v>1208.61</x:v>
      </x:c>
      <x:c r="J1110" s="40" t="n">
        <x:v>1262.79</x:v>
      </x:c>
      <x:c r="K1110" s="16" t="str">
        <x:v>Novo</x:v>
      </x:c>
      <x:c r="L1110" s="16" t="str">
        <x:v>Em aberto</x:v>
      </x:c>
      <x:c r="M1110" s="16" t="str">
        <x:v>fe984a0a-4e75-490f-9092-587cb6e1cc0a</x:v>
      </x:c>
      <x:c r="N1110" s="41" t="str"/>
    </x:row>
    <x:row r="1111">
      <x:c r="A1111" s="37" t="str">
        <x:f>"001416"</x:f>
        <x:v>001416</x:v>
      </x:c>
      <x:c r="B1111" s="38" t="str">
        <x:f>""</x:f>
      </x:c>
      <x:c r="C1111" s="38" t="str">
        <x:v>RN14 EMPREEND. IMOBILARIOS LTDA</x:v>
      </x:c>
      <x:c r="D1111" s="38" t="str">
        <x:f>""</x:f>
      </x:c>
      <x:c r="E1111" s="38" t="str">
        <x:f>"0551136345611"</x:f>
        <x:v>0551136345611</x:v>
      </x:c>
      <x:c r="F1111" s="38" t="str">
        <x:v>ana.greco@halbreich.com.br</x:v>
      </x:c>
      <x:c r="G1111" s="39" t="n">
        <x:v>46208</x:v>
      </x:c>
      <x:c r="H1111" s="16" t="str">
        <x:v>07/2026</x:v>
      </x:c>
      <x:c r="I1111" s="40" t="n">
        <x:v>1229.09</x:v>
      </x:c>
      <x:c r="J1111" s="40" t="n">
        <x:v>1271.65</x:v>
      </x:c>
      <x:c r="K1111" s="16" t="str">
        <x:v>Novo</x:v>
      </x:c>
      <x:c r="L1111" s="16" t="str">
        <x:v>Em aberto</x:v>
      </x:c>
      <x:c r="M1111" s="16" t="str">
        <x:v>86d00b5d-d46b-455b-92cf-057eb0d9f6e9</x:v>
      </x:c>
      <x:c r="N1111" s="41" t="str"/>
    </x:row>
    <x:row r="1112">
      <x:c r="A1112" s="37" t="str">
        <x:f>"001417"</x:f>
        <x:v>001417</x:v>
      </x:c>
      <x:c r="B1112" s="38" t="str">
        <x:f>""</x:f>
      </x:c>
      <x:c r="C1112" s="38" t="str">
        <x:v>RN14 EMPREEND. IMOBILARIOS LTDA</x:v>
      </x:c>
      <x:c r="D1112" s="38" t="str">
        <x:f>""</x:f>
      </x:c>
      <x:c r="E1112" s="38" t="str">
        <x:f>"0551136345611"</x:f>
        <x:v>0551136345611</x:v>
      </x:c>
      <x:c r="F1112" s="38" t="str">
        <x:v>ana.greco@halbreich.com.br</x:v>
      </x:c>
      <x:c r="G1112" s="39" t="n">
        <x:v>46178</x:v>
      </x:c>
      <x:c r="H1112" s="16" t="str">
        <x:v>06/2026</x:v>
      </x:c>
      <x:c r="I1112" s="40" t="n">
        <x:v>969.87</x:v>
      </x:c>
      <x:c r="J1112" s="40" t="n">
        <x:v>1013.34</x:v>
      </x:c>
      <x:c r="K1112" s="16" t="str">
        <x:v>Novo</x:v>
      </x:c>
      <x:c r="L1112" s="16" t="str">
        <x:v>Em aberto</x:v>
      </x:c>
      <x:c r="M1112" s="16" t="str">
        <x:v>e9a727f7-d5be-4a7d-8849-9ca3661143b7</x:v>
      </x:c>
      <x:c r="N1112" s="41" t="str"/>
    </x:row>
    <x:row r="1113">
      <x:c r="A1113" s="37" t="str">
        <x:f>"001417"</x:f>
        <x:v>001417</x:v>
      </x:c>
      <x:c r="B1113" s="38" t="str">
        <x:f>""</x:f>
      </x:c>
      <x:c r="C1113" s="38" t="str">
        <x:v>RN14 EMPREEND. IMOBILARIOS LTDA</x:v>
      </x:c>
      <x:c r="D1113" s="38" t="str">
        <x:f>""</x:f>
      </x:c>
      <x:c r="E1113" s="38" t="str">
        <x:f>"0551136345611"</x:f>
        <x:v>0551136345611</x:v>
      </x:c>
      <x:c r="F1113" s="38" t="str">
        <x:v>ana.greco@halbreich.com.br</x:v>
      </x:c>
      <x:c r="G1113" s="39" t="n">
        <x:v>46208</x:v>
      </x:c>
      <x:c r="H1113" s="16" t="str">
        <x:v>07/2026</x:v>
      </x:c>
      <x:c r="I1113" s="40" t="n">
        <x:v>986.31</x:v>
      </x:c>
      <x:c r="J1113" s="40" t="n">
        <x:v>1020.46</x:v>
      </x:c>
      <x:c r="K1113" s="16" t="str">
        <x:v>Novo</x:v>
      </x:c>
      <x:c r="L1113" s="16" t="str">
        <x:v>Em aberto</x:v>
      </x:c>
      <x:c r="M1113" s="16" t="str">
        <x:v>f9076c05-4822-4d0d-ae84-4edf04132823</x:v>
      </x:c>
      <x:c r="N1113" s="41" t="str"/>
    </x:row>
    <x:row r="1114">
      <x:c r="A1114" s="37" t="str">
        <x:f>"001418"</x:f>
        <x:v>001418</x:v>
      </x:c>
      <x:c r="B1114" s="38" t="str">
        <x:f>""</x:f>
      </x:c>
      <x:c r="C1114" s="38" t="str">
        <x:v>Construtora Gustavo Halbreich</x:v>
      </x:c>
      <x:c r="D1114" s="38" t="str">
        <x:f>""</x:f>
      </x:c>
      <x:c r="E1114" s="38" t="str">
        <x:f>"0551136345611"</x:f>
        <x:v>0551136345611</x:v>
      </x:c>
      <x:c r="F1114" s="38" t="str">
        <x:v>ana.greco@halbreich.com.br</x:v>
      </x:c>
      <x:c r="G1114" s="39" t="n">
        <x:v>46178</x:v>
      </x:c>
      <x:c r="H1114" s="16" t="str">
        <x:v>06/2026</x:v>
      </x:c>
      <x:c r="I1114" s="40" t="n">
        <x:v>895.91</x:v>
      </x:c>
      <x:c r="J1114" s="40" t="n">
        <x:v>936.06</x:v>
      </x:c>
      <x:c r="K1114" s="16" t="str">
        <x:v>Novo</x:v>
      </x:c>
      <x:c r="L1114" s="16" t="str">
        <x:v>Em aberto</x:v>
      </x:c>
      <x:c r="M1114" s="16" t="str">
        <x:v>aa4b9b65-0a4b-4490-bf2f-72016b3d2f31</x:v>
      </x:c>
      <x:c r="N1114" s="41" t="str"/>
    </x:row>
    <x:row r="1115">
      <x:c r="A1115" s="37" t="str">
        <x:f>"001418"</x:f>
        <x:v>001418</x:v>
      </x:c>
      <x:c r="B1115" s="38" t="str">
        <x:f>""</x:f>
      </x:c>
      <x:c r="C1115" s="38" t="str">
        <x:v>Construtora Gustavo Halbreich</x:v>
      </x:c>
      <x:c r="D1115" s="38" t="str">
        <x:f>""</x:f>
      </x:c>
      <x:c r="E1115" s="38" t="str">
        <x:f>"0551136345611"</x:f>
        <x:v>0551136345611</x:v>
      </x:c>
      <x:c r="F1115" s="38" t="str">
        <x:v>ana.greco@halbreich.com.br</x:v>
      </x:c>
      <x:c r="G1115" s="39" t="n">
        <x:v>46208</x:v>
      </x:c>
      <x:c r="H1115" s="16" t="str">
        <x:v>07/2026</x:v>
      </x:c>
      <x:c r="I1115" s="40" t="n">
        <x:v>911.09</x:v>
      </x:c>
      <x:c r="J1115" s="40" t="n">
        <x:v>942.63</x:v>
      </x:c>
      <x:c r="K1115" s="16" t="str">
        <x:v>Novo</x:v>
      </x:c>
      <x:c r="L1115" s="16" t="str">
        <x:v>Em aberto</x:v>
      </x:c>
      <x:c r="M1115" s="16" t="str">
        <x:v>dbbfa833-c06f-4db5-bb22-605f264e52c4</x:v>
      </x:c>
      <x:c r="N1115" s="41" t="str"/>
    </x:row>
    <x:row r="1116">
      <x:c r="A1116" s="37" t="str">
        <x:f>"001419"</x:f>
        <x:v>001419</x:v>
      </x:c>
      <x:c r="B1116" s="38" t="str">
        <x:f>""</x:f>
      </x:c>
      <x:c r="C1116" s="38" t="str">
        <x:v>RN14 EMPREEND. IMOBILARIOS LTDA</x:v>
      </x:c>
      <x:c r="D1116" s="38" t="str">
        <x:f>""</x:f>
      </x:c>
      <x:c r="E1116" s="38" t="str">
        <x:f>"0551136345611"</x:f>
        <x:v>0551136345611</x:v>
      </x:c>
      <x:c r="F1116" s="38" t="str">
        <x:v>ana.greco@halbreich.com.br</x:v>
      </x:c>
      <x:c r="G1116" s="39" t="n">
        <x:v>46178</x:v>
      </x:c>
      <x:c r="H1116" s="16" t="str">
        <x:v>06/2026</x:v>
      </x:c>
      <x:c r="I1116" s="40" t="n">
        <x:v>895.91</x:v>
      </x:c>
      <x:c r="J1116" s="40" t="n">
        <x:v>936.06</x:v>
      </x:c>
      <x:c r="K1116" s="16" t="str">
        <x:v>Novo</x:v>
      </x:c>
      <x:c r="L1116" s="16" t="str">
        <x:v>Em aberto</x:v>
      </x:c>
      <x:c r="M1116" s="16" t="str">
        <x:v>593a8fa2-585d-45da-8a69-e4ff45ed0db0</x:v>
      </x:c>
      <x:c r="N1116" s="41" t="str"/>
    </x:row>
    <x:row r="1117">
      <x:c r="A1117" s="37" t="str">
        <x:f>"001419"</x:f>
        <x:v>001419</x:v>
      </x:c>
      <x:c r="B1117" s="38" t="str">
        <x:f>""</x:f>
      </x:c>
      <x:c r="C1117" s="38" t="str">
        <x:v>RN14 EMPREEND. IMOBILARIOS LTDA</x:v>
      </x:c>
      <x:c r="D1117" s="38" t="str">
        <x:f>""</x:f>
      </x:c>
      <x:c r="E1117" s="38" t="str">
        <x:f>"0551136345611"</x:f>
        <x:v>0551136345611</x:v>
      </x:c>
      <x:c r="F1117" s="38" t="str">
        <x:v>ana.greco@halbreich.com.br</x:v>
      </x:c>
      <x:c r="G1117" s="39" t="n">
        <x:v>46208</x:v>
      </x:c>
      <x:c r="H1117" s="16" t="str">
        <x:v>07/2026</x:v>
      </x:c>
      <x:c r="I1117" s="40" t="n">
        <x:v>911.09</x:v>
      </x:c>
      <x:c r="J1117" s="40" t="n">
        <x:v>942.63</x:v>
      </x:c>
      <x:c r="K1117" s="16" t="str">
        <x:v>Novo</x:v>
      </x:c>
      <x:c r="L1117" s="16" t="str">
        <x:v>Em aberto</x:v>
      </x:c>
      <x:c r="M1117" s="16" t="str">
        <x:v>344c6869-f02c-4646-9651-83af9cfccce8</x:v>
      </x:c>
      <x:c r="N1117" s="41" t="str"/>
    </x:row>
    <x:row r="1118">
      <x:c r="A1118" s="37" t="str">
        <x:f>"001420"</x:f>
        <x:v>001420</x:v>
      </x:c>
      <x:c r="B1118" s="38" t="str">
        <x:f>""</x:f>
      </x:c>
      <x:c r="C1118" s="38" t="str">
        <x:v>Construtora Gustavo Halbreich</x:v>
      </x:c>
      <x:c r="D1118" s="38" t="str">
        <x:f>""</x:f>
      </x:c>
      <x:c r="E1118" s="38" t="str">
        <x:f>"0551136345611"</x:f>
        <x:v>0551136345611</x:v>
      </x:c>
      <x:c r="F1118" s="38" t="str">
        <x:v>ana.greco@halbreich.com.br</x:v>
      </x:c>
      <x:c r="G1118" s="39" t="n">
        <x:v>46178</x:v>
      </x:c>
      <x:c r="H1118" s="16" t="str">
        <x:v>06/2026</x:v>
      </x:c>
      <x:c r="I1118" s="40" t="n">
        <x:v>1012.06</x:v>
      </x:c>
      <x:c r="J1118" s="40" t="n">
        <x:v>1057.44</x:v>
      </x:c>
      <x:c r="K1118" s="16" t="str">
        <x:v>Novo</x:v>
      </x:c>
      <x:c r="L1118" s="16" t="str">
        <x:v>Em aberto</x:v>
      </x:c>
      <x:c r="M1118" s="16" t="str">
        <x:v>9abe3e80-1d03-459a-9e16-5d5dd605fa8a</x:v>
      </x:c>
      <x:c r="N1118" s="41" t="str"/>
    </x:row>
    <x:row r="1119">
      <x:c r="A1119" s="37" t="str">
        <x:f>"001420"</x:f>
        <x:v>001420</x:v>
      </x:c>
      <x:c r="B1119" s="38" t="str">
        <x:f>""</x:f>
      </x:c>
      <x:c r="C1119" s="38" t="str">
        <x:v>Construtora Gustavo Halbreich</x:v>
      </x:c>
      <x:c r="D1119" s="38" t="str">
        <x:f>""</x:f>
      </x:c>
      <x:c r="E1119" s="38" t="str">
        <x:f>"0551136345611"</x:f>
        <x:v>0551136345611</x:v>
      </x:c>
      <x:c r="F1119" s="38" t="str">
        <x:v>ana.greco@halbreich.com.br</x:v>
      </x:c>
      <x:c r="G1119" s="39" t="n">
        <x:v>46208</x:v>
      </x:c>
      <x:c r="H1119" s="16" t="str">
        <x:v>07/2026</x:v>
      </x:c>
      <x:c r="I1119" s="40" t="n">
        <x:v>1029.21</x:v>
      </x:c>
      <x:c r="J1119" s="40" t="n">
        <x:v>1064.85</x:v>
      </x:c>
      <x:c r="K1119" s="16" t="str">
        <x:v>Novo</x:v>
      </x:c>
      <x:c r="L1119" s="16" t="str">
        <x:v>Em aberto</x:v>
      </x:c>
      <x:c r="M1119" s="16" t="str">
        <x:v>22e652f2-6e2f-4f65-8b27-9c86043d0aea</x:v>
      </x:c>
      <x:c r="N1119" s="41" t="str"/>
    </x:row>
    <x:row r="1120">
      <x:c r="A1120" s="37" t="str">
        <x:f>"001501"</x:f>
        <x:v>001501</x:v>
      </x:c>
      <x:c r="B1120" s="38" t="str">
        <x:f>""</x:f>
      </x:c>
      <x:c r="C1120" s="38" t="str">
        <x:v>Carlucio Martins Pagognete</x:v>
      </x:c>
      <x:c r="D1120" s="38" t="str">
        <x:f>""</x:f>
      </x:c>
      <x:c r="E1120" s="38" t="str">
        <x:f>"05511997444747"</x:f>
        <x:v>05511997444747</x:v>
      </x:c>
      <x:c r="F1120" s="38" t="str"/>
      <x:c r="G1120" s="39" t="n">
        <x:v>46178</x:v>
      </x:c>
      <x:c r="H1120" s="16" t="str">
        <x:v>06/2026</x:v>
      </x:c>
      <x:c r="I1120" s="40" t="n">
        <x:v>1012.06</x:v>
      </x:c>
      <x:c r="J1120" s="40" t="n">
        <x:v>1057.44</x:v>
      </x:c>
      <x:c r="K1120" s="16" t="str">
        <x:v>Novo</x:v>
      </x:c>
      <x:c r="L1120" s="16" t="str">
        <x:v>Em aberto</x:v>
      </x:c>
      <x:c r="M1120" s="16" t="str">
        <x:v>a85e33d5-8d15-4071-b4d2-5fc4d17e9a97</x:v>
      </x:c>
      <x:c r="N1120" s="41" t="str"/>
    </x:row>
    <x:row r="1121">
      <x:c r="A1121" s="37" t="str">
        <x:f>"001502"</x:f>
        <x:v>001502</x:v>
      </x:c>
      <x:c r="B1121" s="38" t="str">
        <x:f>""</x:f>
      </x:c>
      <x:c r="C1121" s="38" t="str">
        <x:v>Carlucio Martins Pagognete</x:v>
      </x:c>
      <x:c r="D1121" s="38" t="str">
        <x:f>""</x:f>
      </x:c>
      <x:c r="E1121" s="38" t="str">
        <x:f>"05511997444747"</x:f>
        <x:v>05511997444747</x:v>
      </x:c>
      <x:c r="F1121" s="38" t="str"/>
      <x:c r="G1121" s="39" t="n">
        <x:v>46178</x:v>
      </x:c>
      <x:c r="H1121" s="16" t="str">
        <x:v>06/2026</x:v>
      </x:c>
      <x:c r="I1121" s="40" t="n">
        <x:v>895.91</x:v>
      </x:c>
      <x:c r="J1121" s="40" t="n">
        <x:v>936.06</x:v>
      </x:c>
      <x:c r="K1121" s="16" t="str">
        <x:v>Novo</x:v>
      </x:c>
      <x:c r="L1121" s="16" t="str">
        <x:v>Em aberto</x:v>
      </x:c>
      <x:c r="M1121" s="16" t="str">
        <x:v>a6aa6547-1ed2-475c-be30-992dfd64f459</x:v>
      </x:c>
      <x:c r="N1121" s="41" t="str"/>
    </x:row>
    <x:row r="1122">
      <x:c r="A1122" s="37" t="str">
        <x:f>"001503"</x:f>
        <x:v>001503</x:v>
      </x:c>
      <x:c r="B1122" s="38" t="str">
        <x:f>""</x:f>
      </x:c>
      <x:c r="C1122" s="38" t="str">
        <x:v>Carlucio Martins Pagognete</x:v>
      </x:c>
      <x:c r="D1122" s="38" t="str">
        <x:f>""</x:f>
      </x:c>
      <x:c r="E1122" s="38" t="str">
        <x:f>"05511997444747"</x:f>
        <x:v>05511997444747</x:v>
      </x:c>
      <x:c r="F1122" s="38" t="str"/>
      <x:c r="G1122" s="39" t="n">
        <x:v>46178</x:v>
      </x:c>
      <x:c r="H1122" s="16" t="str">
        <x:v>06/2026</x:v>
      </x:c>
      <x:c r="I1122" s="40" t="n">
        <x:v>895.91</x:v>
      </x:c>
      <x:c r="J1122" s="40" t="n">
        <x:v>936.06</x:v>
      </x:c>
      <x:c r="K1122" s="16" t="str">
        <x:v>Novo</x:v>
      </x:c>
      <x:c r="L1122" s="16" t="str">
        <x:v>Em aberto</x:v>
      </x:c>
      <x:c r="M1122" s="16" t="str">
        <x:v>c5f19cda-3e37-42d4-ad4f-be4e3642c6b7</x:v>
      </x:c>
      <x:c r="N1122" s="41" t="str"/>
    </x:row>
    <x:row r="1123">
      <x:c r="A1123" s="37" t="str">
        <x:f>"001504"</x:f>
        <x:v>001504</x:v>
      </x:c>
      <x:c r="B1123" s="38" t="str">
        <x:f>""</x:f>
      </x:c>
      <x:c r="C1123" s="38" t="str">
        <x:v>Carlucio Martins Pagognete</x:v>
      </x:c>
      <x:c r="D1123" s="38" t="str">
        <x:f>""</x:f>
      </x:c>
      <x:c r="E1123" s="38" t="str">
        <x:f>"05511997444747"</x:f>
        <x:v>05511997444747</x:v>
      </x:c>
      <x:c r="F1123" s="38" t="str"/>
      <x:c r="G1123" s="39" t="n">
        <x:v>46178</x:v>
      </x:c>
      <x:c r="H1123" s="16" t="str">
        <x:v>06/2026</x:v>
      </x:c>
      <x:c r="I1123" s="40" t="n">
        <x:v>969.87</x:v>
      </x:c>
      <x:c r="J1123" s="40" t="n">
        <x:v>1013.34</x:v>
      </x:c>
      <x:c r="K1123" s="16" t="str">
        <x:v>Novo</x:v>
      </x:c>
      <x:c r="L1123" s="16" t="str">
        <x:v>Em aberto</x:v>
      </x:c>
      <x:c r="M1123" s="16" t="str">
        <x:v>b3f5a542-377a-4872-b474-c1b93bbef4ce</x:v>
      </x:c>
      <x:c r="N1123" s="41" t="str"/>
    </x:row>
    <x:row r="1124">
      <x:c r="A1124" s="37" t="str">
        <x:f>"001505"</x:f>
        <x:v>001505</x:v>
      </x:c>
      <x:c r="B1124" s="38" t="str">
        <x:f>""</x:f>
      </x:c>
      <x:c r="C1124" s="38" t="str">
        <x:v>Carlucio Martins Pagognete</x:v>
      </x:c>
      <x:c r="D1124" s="38" t="str">
        <x:f>""</x:f>
      </x:c>
      <x:c r="E1124" s="38" t="str">
        <x:f>"05511997444747"</x:f>
        <x:v>05511997444747</x:v>
      </x:c>
      <x:c r="F1124" s="38" t="str"/>
      <x:c r="G1124" s="39" t="n">
        <x:v>46178</x:v>
      </x:c>
      <x:c r="H1124" s="16" t="str">
        <x:v>06/2026</x:v>
      </x:c>
      <x:c r="I1124" s="40" t="n">
        <x:v>1208.61</x:v>
      </x:c>
      <x:c r="J1124" s="40" t="n">
        <x:v>1262.79</x:v>
      </x:c>
      <x:c r="K1124" s="16" t="str">
        <x:v>Novo</x:v>
      </x:c>
      <x:c r="L1124" s="16" t="str">
        <x:v>Em aberto</x:v>
      </x:c>
      <x:c r="M1124" s="16" t="str">
        <x:v>1a02b03e-cf94-46a2-b198-32fd83e56999</x:v>
      </x:c>
      <x:c r="N1124" s="41" t="str"/>
    </x:row>
    <x:row r="1125">
      <x:c r="A1125" s="37" t="str">
        <x:f>"001506"</x:f>
        <x:v>001506</x:v>
      </x:c>
      <x:c r="B1125" s="38" t="str">
        <x:f>""</x:f>
      </x:c>
      <x:c r="C1125" s="38" t="str">
        <x:v>Carlucio Martins Pagognete</x:v>
      </x:c>
      <x:c r="D1125" s="38" t="str">
        <x:f>""</x:f>
      </x:c>
      <x:c r="E1125" s="38" t="str">
        <x:f>"05511997444747"</x:f>
        <x:v>05511997444747</x:v>
      </x:c>
      <x:c r="F1125" s="38" t="str"/>
      <x:c r="G1125" s="39" t="n">
        <x:v>46178</x:v>
      </x:c>
      <x:c r="H1125" s="16" t="str">
        <x:v>06/2026</x:v>
      </x:c>
      <x:c r="I1125" s="40" t="n">
        <x:v>1208.61</x:v>
      </x:c>
      <x:c r="J1125" s="40" t="n">
        <x:v>1262.79</x:v>
      </x:c>
      <x:c r="K1125" s="16" t="str">
        <x:v>Novo</x:v>
      </x:c>
      <x:c r="L1125" s="16" t="str">
        <x:v>Em aberto</x:v>
      </x:c>
      <x:c r="M1125" s="16" t="str">
        <x:v>0659cd8b-c635-44f7-8cc7-fa7e76832c64</x:v>
      </x:c>
      <x:c r="N1125" s="41" t="str"/>
    </x:row>
    <x:row r="1126">
      <x:c r="A1126" s="37" t="str">
        <x:f>"001507"</x:f>
        <x:v>001507</x:v>
      </x:c>
      <x:c r="B1126" s="38" t="str">
        <x:f>""</x:f>
      </x:c>
      <x:c r="C1126" s="38" t="str">
        <x:v>Carlucio Martins Pagognete</x:v>
      </x:c>
      <x:c r="D1126" s="38" t="str">
        <x:f>""</x:f>
      </x:c>
      <x:c r="E1126" s="38" t="str">
        <x:f>"05511997444747"</x:f>
        <x:v>05511997444747</x:v>
      </x:c>
      <x:c r="F1126" s="38" t="str"/>
      <x:c r="G1126" s="39" t="n">
        <x:v>46178</x:v>
      </x:c>
      <x:c r="H1126" s="16" t="str">
        <x:v>06/2026</x:v>
      </x:c>
      <x:c r="I1126" s="40" t="n">
        <x:v>969.87</x:v>
      </x:c>
      <x:c r="J1126" s="40" t="n">
        <x:v>1013.34</x:v>
      </x:c>
      <x:c r="K1126" s="16" t="str">
        <x:v>Novo</x:v>
      </x:c>
      <x:c r="L1126" s="16" t="str">
        <x:v>Em aberto</x:v>
      </x:c>
      <x:c r="M1126" s="16" t="str">
        <x:v>eb4e7e85-7840-4075-86e2-433004484a93</x:v>
      </x:c>
      <x:c r="N1126" s="41" t="str"/>
    </x:row>
    <x:row r="1127">
      <x:c r="A1127" s="37" t="str">
        <x:f>"001508"</x:f>
        <x:v>001508</x:v>
      </x:c>
      <x:c r="B1127" s="38" t="str">
        <x:f>""</x:f>
      </x:c>
      <x:c r="C1127" s="38" t="str">
        <x:v>Carlucio Martins Pagognete</x:v>
      </x:c>
      <x:c r="D1127" s="38" t="str">
        <x:f>""</x:f>
      </x:c>
      <x:c r="E1127" s="38" t="str">
        <x:f>"05511997444747"</x:f>
        <x:v>05511997444747</x:v>
      </x:c>
      <x:c r="F1127" s="38" t="str"/>
      <x:c r="G1127" s="39" t="n">
        <x:v>46178</x:v>
      </x:c>
      <x:c r="H1127" s="16" t="str">
        <x:v>06/2026</x:v>
      </x:c>
      <x:c r="I1127" s="40" t="n">
        <x:v>895.91</x:v>
      </x:c>
      <x:c r="J1127" s="40" t="n">
        <x:v>936.06</x:v>
      </x:c>
      <x:c r="K1127" s="16" t="str">
        <x:v>Novo</x:v>
      </x:c>
      <x:c r="L1127" s="16" t="str">
        <x:v>Em aberto</x:v>
      </x:c>
      <x:c r="M1127" s="16" t="str">
        <x:v>f0850713-233f-4688-84d4-7470b51505e6</x:v>
      </x:c>
      <x:c r="N1127" s="41" t="str"/>
    </x:row>
    <x:row r="1128">
      <x:c r="A1128" s="37" t="str">
        <x:f>"001509"</x:f>
        <x:v>001509</x:v>
      </x:c>
      <x:c r="B1128" s="38" t="str">
        <x:f>""</x:f>
      </x:c>
      <x:c r="C1128" s="38" t="str">
        <x:v>Carlucio Martins Pagognete</x:v>
      </x:c>
      <x:c r="D1128" s="38" t="str">
        <x:f>""</x:f>
      </x:c>
      <x:c r="E1128" s="38" t="str">
        <x:f>"05511997444747"</x:f>
        <x:v>05511997444747</x:v>
      </x:c>
      <x:c r="F1128" s="38" t="str"/>
      <x:c r="G1128" s="39" t="n">
        <x:v>46178</x:v>
      </x:c>
      <x:c r="H1128" s="16" t="str">
        <x:v>06/2026</x:v>
      </x:c>
      <x:c r="I1128" s="40" t="n">
        <x:v>895.91</x:v>
      </x:c>
      <x:c r="J1128" s="40" t="n">
        <x:v>936.06</x:v>
      </x:c>
      <x:c r="K1128" s="16" t="str">
        <x:v>Novo</x:v>
      </x:c>
      <x:c r="L1128" s="16" t="str">
        <x:v>Em aberto</x:v>
      </x:c>
      <x:c r="M1128" s="16" t="str">
        <x:v>27c5f56e-556a-41d2-b03e-5d96706da85b</x:v>
      </x:c>
      <x:c r="N1128" s="41" t="str"/>
    </x:row>
    <x:row r="1129">
      <x:c r="A1129" s="37" t="str">
        <x:f>"001510"</x:f>
        <x:v>001510</x:v>
      </x:c>
      <x:c r="B1129" s="38" t="str">
        <x:f>""</x:f>
      </x:c>
      <x:c r="C1129" s="38" t="str">
        <x:v>Carlucio Martins Pagognete</x:v>
      </x:c>
      <x:c r="D1129" s="38" t="str">
        <x:f>""</x:f>
      </x:c>
      <x:c r="E1129" s="38" t="str">
        <x:f>"05511997444747"</x:f>
        <x:v>05511997444747</x:v>
      </x:c>
      <x:c r="F1129" s="38" t="str"/>
      <x:c r="G1129" s="39" t="n">
        <x:v>46178</x:v>
      </x:c>
      <x:c r="H1129" s="16" t="str">
        <x:v>06/2026</x:v>
      </x:c>
      <x:c r="I1129" s="40" t="n">
        <x:v>1012.06</x:v>
      </x:c>
      <x:c r="J1129" s="40" t="n">
        <x:v>1057.44</x:v>
      </x:c>
      <x:c r="K1129" s="16" t="str">
        <x:v>Novo</x:v>
      </x:c>
      <x:c r="L1129" s="16" t="str">
        <x:v>Em aberto</x:v>
      </x:c>
      <x:c r="M1129" s="16" t="str">
        <x:v>c0e52b1d-66d6-42a9-9c74-26b71a1fb0d8</x:v>
      </x:c>
      <x:c r="N1129" s="41" t="str"/>
    </x:row>
    <x:row r="1130">
      <x:c r="A1130" s="37" t="str">
        <x:f>"001511"</x:f>
        <x:v>001511</x:v>
      </x:c>
      <x:c r="B1130" s="38" t="str">
        <x:f>""</x:f>
      </x:c>
      <x:c r="C1130" s="38" t="str">
        <x:v>Carlucio Martins Pagognete</x:v>
      </x:c>
      <x:c r="D1130" s="38" t="str">
        <x:f>""</x:f>
      </x:c>
      <x:c r="E1130" s="38" t="str">
        <x:f>"05511997444747"</x:f>
        <x:v>05511997444747</x:v>
      </x:c>
      <x:c r="F1130" s="38" t="str"/>
      <x:c r="G1130" s="39" t="n">
        <x:v>46178</x:v>
      </x:c>
      <x:c r="H1130" s="16" t="str">
        <x:v>06/2026</x:v>
      </x:c>
      <x:c r="I1130" s="40" t="n">
        <x:v>1012.06</x:v>
      </x:c>
      <x:c r="J1130" s="40" t="n">
        <x:v>1057.44</x:v>
      </x:c>
      <x:c r="K1130" s="16" t="str">
        <x:v>Novo</x:v>
      </x:c>
      <x:c r="L1130" s="16" t="str">
        <x:v>Em aberto</x:v>
      </x:c>
      <x:c r="M1130" s="16" t="str">
        <x:v>068a070b-870e-4cf2-8ae4-1c98aa77199f</x:v>
      </x:c>
      <x:c r="N1130" s="41" t="str"/>
    </x:row>
    <x:row r="1131">
      <x:c r="A1131" s="37" t="str">
        <x:f>"001512"</x:f>
        <x:v>001512</x:v>
      </x:c>
      <x:c r="B1131" s="38" t="str">
        <x:f>""</x:f>
      </x:c>
      <x:c r="C1131" s="38" t="str">
        <x:v>Carlucio Martins Pagognete</x:v>
      </x:c>
      <x:c r="D1131" s="38" t="str">
        <x:f>""</x:f>
      </x:c>
      <x:c r="E1131" s="38" t="str">
        <x:f>"05511997444747"</x:f>
        <x:v>05511997444747</x:v>
      </x:c>
      <x:c r="F1131" s="38" t="str"/>
      <x:c r="G1131" s="39" t="n">
        <x:v>46058</x:v>
      </x:c>
      <x:c r="H1131" s="16" t="str">
        <x:v>02/2026</x:v>
      </x:c>
      <x:c r="I1131" s="40" t="n">
        <x:v>1133.36</x:v>
      </x:c>
      <x:c r="J1131" s="40" t="n">
        <x:v>1280.72</x:v>
      </x:c>
      <x:c r="K1131" s="16" t="str">
        <x:v>Novo</x:v>
      </x:c>
      <x:c r="L1131" s="16" t="str">
        <x:v>Em aberto</x:v>
      </x:c>
      <x:c r="M1131" s="16" t="str">
        <x:v>3b9aa51a-ccc1-4a02-bc2c-adb0df013747</x:v>
      </x:c>
      <x:c r="N1131" s="41" t="str"/>
    </x:row>
    <x:row r="1132">
      <x:c r="A1132" s="37" t="str">
        <x:f>"001512"</x:f>
        <x:v>001512</x:v>
      </x:c>
      <x:c r="B1132" s="38" t="str">
        <x:f>""</x:f>
      </x:c>
      <x:c r="C1132" s="38" t="str">
        <x:v>Carlucio Martins Pagognete</x:v>
      </x:c>
      <x:c r="D1132" s="38" t="str">
        <x:f>""</x:f>
      </x:c>
      <x:c r="E1132" s="38" t="str">
        <x:f>"05511997444747"</x:f>
        <x:v>05511997444747</x:v>
      </x:c>
      <x:c r="F1132" s="38" t="str"/>
      <x:c r="G1132" s="39" t="n">
        <x:v>46086</x:v>
      </x:c>
      <x:c r="H1132" s="16" t="str">
        <x:v>03/2026</x:v>
      </x:c>
      <x:c r="I1132" s="40" t="n">
        <x:v>1125.04</x:v>
      </x:c>
      <x:c r="J1132" s="40" t="n">
        <x:v>1260.17</x:v>
      </x:c>
      <x:c r="K1132" s="16" t="str">
        <x:v>Novo</x:v>
      </x:c>
      <x:c r="L1132" s="16" t="str">
        <x:v>Em aberto</x:v>
      </x:c>
      <x:c r="M1132" s="16" t="str">
        <x:v>83b7a8b5-c39f-4405-9106-28d892d5d9a9</x:v>
      </x:c>
      <x:c r="N1132" s="41" t="str"/>
    </x:row>
    <x:row r="1133">
      <x:c r="A1133" s="37" t="str">
        <x:f>"001512"</x:f>
        <x:v>001512</x:v>
      </x:c>
      <x:c r="B1133" s="38" t="str">
        <x:f>""</x:f>
      </x:c>
      <x:c r="C1133" s="38" t="str">
        <x:v>Carlucio Martins Pagognete</x:v>
      </x:c>
      <x:c r="D1133" s="38" t="str">
        <x:f>""</x:f>
      </x:c>
      <x:c r="E1133" s="38" t="str">
        <x:f>"05511997444747"</x:f>
        <x:v>05511997444747</x:v>
      </x:c>
      <x:c r="F1133" s="38" t="str"/>
      <x:c r="G1133" s="39" t="n">
        <x:v>46178</x:v>
      </x:c>
      <x:c r="H1133" s="16" t="str">
        <x:v>06/2026</x:v>
      </x:c>
      <x:c r="I1133" s="40" t="n">
        <x:v>895.91</x:v>
      </x:c>
      <x:c r="J1133" s="40" t="n">
        <x:v>936.06</x:v>
      </x:c>
      <x:c r="K1133" s="16" t="str">
        <x:v>Novo</x:v>
      </x:c>
      <x:c r="L1133" s="16" t="str">
        <x:v>Em aberto</x:v>
      </x:c>
      <x:c r="M1133" s="16" t="str">
        <x:v>a5dcdb8d-787b-4945-9c46-25ded657c472</x:v>
      </x:c>
      <x:c r="N1133" s="41" t="str"/>
    </x:row>
    <x:row r="1134">
      <x:c r="A1134" s="37" t="str">
        <x:f>"001513"</x:f>
        <x:v>001513</x:v>
      </x:c>
      <x:c r="B1134" s="38" t="str">
        <x:f>""</x:f>
      </x:c>
      <x:c r="C1134" s="38" t="str">
        <x:v>Carlucio Martins Pagognete</x:v>
      </x:c>
      <x:c r="D1134" s="38" t="str">
        <x:f>""</x:f>
      </x:c>
      <x:c r="E1134" s="38" t="str">
        <x:f>"05511997444747"</x:f>
        <x:v>05511997444747</x:v>
      </x:c>
      <x:c r="F1134" s="38" t="str"/>
      <x:c r="G1134" s="39" t="n">
        <x:v>46178</x:v>
      </x:c>
      <x:c r="H1134" s="16" t="str">
        <x:v>06/2026</x:v>
      </x:c>
      <x:c r="I1134" s="40" t="n">
        <x:v>895.91</x:v>
      </x:c>
      <x:c r="J1134" s="40" t="n">
        <x:v>936.06</x:v>
      </x:c>
      <x:c r="K1134" s="16" t="str">
        <x:v>Novo</x:v>
      </x:c>
      <x:c r="L1134" s="16" t="str">
        <x:v>Em aberto</x:v>
      </x:c>
      <x:c r="M1134" s="16" t="str">
        <x:v>87f747f1-55b8-4771-b3c0-a3c738af53cf</x:v>
      </x:c>
      <x:c r="N1134" s="41" t="str"/>
    </x:row>
    <x:row r="1135">
      <x:c r="A1135" s="37" t="str">
        <x:f>"001514"</x:f>
        <x:v>001514</x:v>
      </x:c>
      <x:c r="B1135" s="38" t="str">
        <x:f>""</x:f>
      </x:c>
      <x:c r="C1135" s="38" t="str">
        <x:v>Carlucio Martins Pagognete</x:v>
      </x:c>
      <x:c r="D1135" s="38" t="str">
        <x:f>""</x:f>
      </x:c>
      <x:c r="E1135" s="38" t="str">
        <x:f>"05511997444747"</x:f>
        <x:v>05511997444747</x:v>
      </x:c>
      <x:c r="F1135" s="38" t="str"/>
      <x:c r="G1135" s="39" t="n">
        <x:v>46178</x:v>
      </x:c>
      <x:c r="H1135" s="16" t="str">
        <x:v>06/2026</x:v>
      </x:c>
      <x:c r="I1135" s="40" t="n">
        <x:v>969.87</x:v>
      </x:c>
      <x:c r="J1135" s="40" t="n">
        <x:v>1013.34</x:v>
      </x:c>
      <x:c r="K1135" s="16" t="str">
        <x:v>Novo</x:v>
      </x:c>
      <x:c r="L1135" s="16" t="str">
        <x:v>Em aberto</x:v>
      </x:c>
      <x:c r="M1135" s="16" t="str">
        <x:v>fc672ee9-737d-430a-a9d0-3cf5d13ce772</x:v>
      </x:c>
      <x:c r="N1135" s="41" t="str"/>
    </x:row>
    <x:row r="1136">
      <x:c r="A1136" s="37" t="str">
        <x:f>"001515"</x:f>
        <x:v>001515</x:v>
      </x:c>
      <x:c r="B1136" s="38" t="str">
        <x:f>""</x:f>
      </x:c>
      <x:c r="C1136" s="38" t="str">
        <x:v>Carlucio Martins Pagognete</x:v>
      </x:c>
      <x:c r="D1136" s="38" t="str">
        <x:f>""</x:f>
      </x:c>
      <x:c r="E1136" s="38" t="str">
        <x:f>"05511997444747"</x:f>
        <x:v>05511997444747</x:v>
      </x:c>
      <x:c r="F1136" s="38" t="str"/>
      <x:c r="G1136" s="39" t="n">
        <x:v>46178</x:v>
      </x:c>
      <x:c r="H1136" s="16" t="str">
        <x:v>06/2026</x:v>
      </x:c>
      <x:c r="I1136" s="40" t="n">
        <x:v>1208.61</x:v>
      </x:c>
      <x:c r="J1136" s="40" t="n">
        <x:v>1262.79</x:v>
      </x:c>
      <x:c r="K1136" s="16" t="str">
        <x:v>Novo</x:v>
      </x:c>
      <x:c r="L1136" s="16" t="str">
        <x:v>Em aberto</x:v>
      </x:c>
      <x:c r="M1136" s="16" t="str">
        <x:v>5eae1148-aeff-4106-9378-7460bf39816e</x:v>
      </x:c>
      <x:c r="N1136" s="41" t="str"/>
    </x:row>
    <x:row r="1137">
      <x:c r="A1137" s="37" t="str">
        <x:f>"001516"</x:f>
        <x:v>001516</x:v>
      </x:c>
      <x:c r="B1137" s="38" t="str">
        <x:f>""</x:f>
      </x:c>
      <x:c r="C1137" s="38" t="str">
        <x:v>Carlucio Martins Pagognete</x:v>
      </x:c>
      <x:c r="D1137" s="38" t="str">
        <x:f>""</x:f>
      </x:c>
      <x:c r="E1137" s="38" t="str">
        <x:f>"05511997444747"</x:f>
        <x:v>05511997444747</x:v>
      </x:c>
      <x:c r="F1137" s="38" t="str"/>
      <x:c r="G1137" s="39" t="n">
        <x:v>46178</x:v>
      </x:c>
      <x:c r="H1137" s="16" t="str">
        <x:v>06/2026</x:v>
      </x:c>
      <x:c r="I1137" s="40" t="n">
        <x:v>1208.61</x:v>
      </x:c>
      <x:c r="J1137" s="40" t="n">
        <x:v>1262.79</x:v>
      </x:c>
      <x:c r="K1137" s="16" t="str">
        <x:v>Novo</x:v>
      </x:c>
      <x:c r="L1137" s="16" t="str">
        <x:v>Em aberto</x:v>
      </x:c>
      <x:c r="M1137" s="16" t="str">
        <x:v>ea55d8af-7966-4708-b73f-45c16c4bd2bb</x:v>
      </x:c>
      <x:c r="N1137" s="41" t="str"/>
    </x:row>
    <x:row r="1138">
      <x:c r="A1138" s="37" t="str">
        <x:f>"001517"</x:f>
        <x:v>001517</x:v>
      </x:c>
      <x:c r="B1138" s="38" t="str">
        <x:f>""</x:f>
      </x:c>
      <x:c r="C1138" s="38" t="str">
        <x:v>Carlucio Martins Pagognete</x:v>
      </x:c>
      <x:c r="D1138" s="38" t="str">
        <x:f>""</x:f>
      </x:c>
      <x:c r="E1138" s="38" t="str">
        <x:f>"05511997444747"</x:f>
        <x:v>05511997444747</x:v>
      </x:c>
      <x:c r="F1138" s="38" t="str"/>
      <x:c r="G1138" s="39" t="n">
        <x:v>46178</x:v>
      </x:c>
      <x:c r="H1138" s="16" t="str">
        <x:v>06/2026</x:v>
      </x:c>
      <x:c r="I1138" s="40" t="n">
        <x:v>969.87</x:v>
      </x:c>
      <x:c r="J1138" s="40" t="n">
        <x:v>1013.34</x:v>
      </x:c>
      <x:c r="K1138" s="16" t="str">
        <x:v>Novo</x:v>
      </x:c>
      <x:c r="L1138" s="16" t="str">
        <x:v>Em aberto</x:v>
      </x:c>
      <x:c r="M1138" s="16" t="str">
        <x:v>ef3707ca-68f7-4986-893f-536c79a66bb8</x:v>
      </x:c>
      <x:c r="N1138" s="41" t="str"/>
    </x:row>
    <x:row r="1139">
      <x:c r="A1139" s="37" t="str">
        <x:f>"001518"</x:f>
        <x:v>001518</x:v>
      </x:c>
      <x:c r="B1139" s="38" t="str">
        <x:f>""</x:f>
      </x:c>
      <x:c r="C1139" s="38" t="str">
        <x:v>Carlucio Martins Pagognete</x:v>
      </x:c>
      <x:c r="D1139" s="38" t="str">
        <x:f>""</x:f>
      </x:c>
      <x:c r="E1139" s="38" t="str">
        <x:f>"05511997444747"</x:f>
        <x:v>05511997444747</x:v>
      </x:c>
      <x:c r="F1139" s="38" t="str"/>
      <x:c r="G1139" s="39" t="n">
        <x:v>46178</x:v>
      </x:c>
      <x:c r="H1139" s="16" t="str">
        <x:v>06/2026</x:v>
      </x:c>
      <x:c r="I1139" s="40" t="n">
        <x:v>895.91</x:v>
      </x:c>
      <x:c r="J1139" s="40" t="n">
        <x:v>936.06</x:v>
      </x:c>
      <x:c r="K1139" s="16" t="str">
        <x:v>Novo</x:v>
      </x:c>
      <x:c r="L1139" s="16" t="str">
        <x:v>Em aberto</x:v>
      </x:c>
      <x:c r="M1139" s="16" t="str">
        <x:v>e4cad1d4-3abb-463d-9c0e-f37017e64395</x:v>
      </x:c>
      <x:c r="N1139" s="41" t="str"/>
    </x:row>
    <x:row r="1140">
      <x:c r="A1140" s="37" t="str">
        <x:f>"001519"</x:f>
        <x:v>001519</x:v>
      </x:c>
      <x:c r="B1140" s="38" t="str">
        <x:f>""</x:f>
      </x:c>
      <x:c r="C1140" s="38" t="str">
        <x:v>Carlucio Martins Pagognete</x:v>
      </x:c>
      <x:c r="D1140" s="38" t="str">
        <x:f>""</x:f>
      </x:c>
      <x:c r="E1140" s="38" t="str">
        <x:f>"05511997444747"</x:f>
        <x:v>05511997444747</x:v>
      </x:c>
      <x:c r="F1140" s="38" t="str"/>
      <x:c r="G1140" s="39" t="n">
        <x:v>46178</x:v>
      </x:c>
      <x:c r="H1140" s="16" t="str">
        <x:v>06/2026</x:v>
      </x:c>
      <x:c r="I1140" s="40" t="n">
        <x:v>895.91</x:v>
      </x:c>
      <x:c r="J1140" s="40" t="n">
        <x:v>936.06</x:v>
      </x:c>
      <x:c r="K1140" s="16" t="str">
        <x:v>Novo</x:v>
      </x:c>
      <x:c r="L1140" s="16" t="str">
        <x:v>Em aberto</x:v>
      </x:c>
      <x:c r="M1140" s="16" t="str">
        <x:v>a450feaa-3a3b-4ee4-a87d-c126129c9d6c</x:v>
      </x:c>
      <x:c r="N1140" s="41" t="str"/>
    </x:row>
    <x:row r="1141">
      <x:c r="A1141" s="42" t="str">
        <x:f>"001520"</x:f>
        <x:v>001520</x:v>
      </x:c>
      <x:c r="B1141" s="43" t="str">
        <x:f>""</x:f>
      </x:c>
      <x:c r="C1141" s="43" t="str">
        <x:v>Carlucio Martins Pagognete</x:v>
      </x:c>
      <x:c r="D1141" s="43" t="str">
        <x:f>""</x:f>
      </x:c>
      <x:c r="E1141" s="43" t="str">
        <x:f>"05511997444747"</x:f>
        <x:v>05511997444747</x:v>
      </x:c>
      <x:c r="F1141" s="43" t="str"/>
      <x:c r="G1141" s="44" t="n">
        <x:v>46178</x:v>
      </x:c>
      <x:c r="H1141" s="20" t="str">
        <x:v>06/2026</x:v>
      </x:c>
      <x:c r="I1141" s="45" t="n">
        <x:v>1012.06</x:v>
      </x:c>
      <x:c r="J1141" s="45" t="n">
        <x:v>1057.44</x:v>
      </x:c>
      <x:c r="K1141" s="20" t="str">
        <x:v>Novo</x:v>
      </x:c>
      <x:c r="L1141" s="20" t="str">
        <x:v>Em aberto</x:v>
      </x:c>
      <x:c r="M1141" s="20" t="str">
        <x:v>1415c538-75ac-4e84-949b-085c69d052ea</x:v>
      </x:c>
      <x:c r="N1141" s="46" t="str"/>
    </x:row>
    <x:row r="1142">
      <x:c r="A1142" s="47" t="str">
        <x:v>Subtotal</x:v>
      </x:c>
      <x:c r="B1142" s="47" t="str"/>
      <x:c r="C1142" s="47" t="str"/>
      <x:c r="D1142" s="47" t="str"/>
      <x:c r="E1142" s="47" t="str"/>
      <x:c r="F1142" s="47" t="str"/>
      <x:c r="G1142" s="47" t="str"/>
      <x:c r="H1142" s="47" t="str"/>
      <x:c r="I1142" s="47" t="str"/>
      <x:c r="J1142" s="48" t="n">
        <x:v>130893.9</x:v>
      </x:c>
      <x:c r="K1142" s="47" t="str">
        <x:v>112 novas</x:v>
      </x:c>
      <x:c r="L1142" s="47" t="str">
        <x:v>0 ativas</x:v>
      </x:c>
      <x:c r="M1142" s="47" t="str"/>
      <x:c r="N1142" s="47" t="str"/>
    </x:row>
    <x:row r="1144">
      <x:c r="A1144" s="26" t="str">
        <x:v>CONDOMINIO O PARQUE TORRE DO CIPÓ</x:v>
      </x:c>
      <x:c r="B1144" s="26"/>
      <x:c r="C1144" s="26"/>
      <x:c r="D1144" s="26"/>
      <x:c r="E1144" s="26"/>
      <x:c r="F1144" s="26"/>
      <x:c r="G1144" s="26"/>
      <x:c r="H1144" s="26"/>
      <x:c r="I1144" s="26"/>
      <x:c r="J1144" s="26"/>
      <x:c r="K1144" s="26"/>
      <x:c r="L1144" s="26"/>
      <x:c r="M1144" s="26"/>
      <x:c r="N1144" s="26"/>
    </x:row>
    <x:row r="1145">
      <x:c r="A1145" s="28" t="str">
        <x:v>CNPJ</x:v>
      </x:c>
      <x:c r="B1145" s="28" t="str">
        <x:v>52.073.626/0004-74</x:v>
      </x:c>
      <x:c r="C1145" s="28"/>
      <x:c r="D1145" s="28" t="str">
        <x:v>Dia de vencimento</x:v>
      </x:c>
      <x:c r="E1145" s="28" t="n">
        <x:v>5</x:v>
      </x:c>
      <x:c r="F1145" s="28" t="str">
        <x:v>Régua</x:v>
      </x:c>
      <x:c r="G1145" s="28" t="str">
        <x:v>D+59</x:v>
      </x:c>
      <x:c r="H1145" s="28"/>
      <x:c r="I1145" s="28"/>
      <x:c r="J1145" s="28"/>
      <x:c r="K1145" s="28"/>
      <x:c r="L1145" s="28"/>
      <x:c r="M1145" s="28"/>
      <x:c r="N1145" s="28"/>
    </x:row>
    <x:row r="1146">
      <x:c r="A1146" s="9" t="str">
        <x:v>Unidade</x:v>
      </x:c>
      <x:c r="B1146" s="9" t="str">
        <x:v>Bloco</x:v>
      </x:c>
      <x:c r="C1146" s="9" t="str">
        <x:v>Responsável</x:v>
      </x:c>
      <x:c r="D1146" s="9" t="str">
        <x:v>Documento</x:v>
      </x:c>
      <x:c r="E1146" s="9" t="str">
        <x:v>Telefone</x:v>
      </x:c>
      <x:c r="F1146" s="9" t="str">
        <x:v>E-mail</x:v>
      </x:c>
      <x:c r="G1146" s="9" t="str">
        <x:v>Vencimento</x:v>
      </x:c>
      <x:c r="H1146" s="9" t="str">
        <x:v>Competência</x:v>
      </x:c>
      <x:c r="I1146" s="9" t="str">
        <x:v>Valor original</x:v>
      </x:c>
      <x:c r="J1146" s="9" t="str">
        <x:v>Valor atualizado</x:v>
      </x:c>
      <x:c r="K1146" s="9" t="str">
        <x:v>Status operacional</x:v>
      </x:c>
      <x:c r="L1146" s="9" t="str">
        <x:v>Status financeiro</x:v>
      </x:c>
      <x:c r="M1146" s="9" t="str">
        <x:v>ID cobrança</x:v>
      </x:c>
      <x:c r="N1146" s="9" t="str">
        <x:v>Observação</x:v>
      </x:c>
    </x:row>
    <x:row r="1147">
      <x:c r="A1147" s="31" t="str">
        <x:f>"000111"</x:f>
        <x:v>000111</x:v>
      </x:c>
      <x:c r="B1147" s="32" t="str">
        <x:f>"CIPÓ"</x:f>
        <x:v>CIPÓ</x:v>
      </x:c>
      <x:c r="C1147" s="32" t="str"/>
      <x:c r="D1147" s="32" t="str">
        <x:f>""</x:f>
      </x:c>
      <x:c r="E1147" s="32" t="str">
        <x:f>""</x:f>
      </x:c>
      <x:c r="F1147" s="32" t="str"/>
      <x:c r="G1147" s="33" t="n">
        <x:v>46086</x:v>
      </x:c>
      <x:c r="H1147" s="34" t="str">
        <x:v>03/2026</x:v>
      </x:c>
      <x:c r="I1147" s="35" t="n">
        <x:v>2225.74</x:v>
      </x:c>
      <x:c r="J1147" s="35" t="n">
        <x:v>2225.74</x:v>
      </x:c>
      <x:c r="K1147" s="34" t="str">
        <x:v>Novo</x:v>
      </x:c>
      <x:c r="L1147" s="34" t="str">
        <x:v>Em aberto</x:v>
      </x:c>
      <x:c r="M1147" s="34" t="str">
        <x:v>e29b6e23-8ea8-400f-982b-f7256bdb807d</x:v>
      </x:c>
      <x:c r="N1147" s="36" t="str"/>
    </x:row>
    <x:row r="1148">
      <x:c r="A1148" s="37" t="str">
        <x:f>"000111"</x:f>
        <x:v>000111</x:v>
      </x:c>
      <x:c r="B1148" s="38" t="str">
        <x:f>"CIPÓ"</x:f>
        <x:v>CIPÓ</x:v>
      </x:c>
      <x:c r="C1148" s="38" t="str"/>
      <x:c r="D1148" s="38" t="str">
        <x:f>""</x:f>
      </x:c>
      <x:c r="E1148" s="38" t="str">
        <x:f>""</x:f>
      </x:c>
      <x:c r="F1148" s="38" t="str"/>
      <x:c r="G1148" s="39" t="n">
        <x:v>46117</x:v>
      </x:c>
      <x:c r="H1148" s="16" t="str">
        <x:v>04/2026</x:v>
      </x:c>
      <x:c r="I1148" s="40" t="n">
        <x:v>2304.18</x:v>
      </x:c>
      <x:c r="J1148" s="40" t="n">
        <x:v>2304.18</x:v>
      </x:c>
      <x:c r="K1148" s="16" t="str">
        <x:v>Novo</x:v>
      </x:c>
      <x:c r="L1148" s="16" t="str">
        <x:v>Em aberto</x:v>
      </x:c>
      <x:c r="M1148" s="16" t="str">
        <x:v>e696fcd0-c686-4e7d-a409-5414965a31a1</x:v>
      </x:c>
      <x:c r="N1148" s="41" t="str"/>
    </x:row>
    <x:row r="1149">
      <x:c r="A1149" s="37" t="str">
        <x:f>"000131"</x:f>
        <x:v>000131</x:v>
      </x:c>
      <x:c r="B1149" s="38" t="str">
        <x:f>"CIPÓ"</x:f>
        <x:v>CIPÓ</x:v>
      </x:c>
      <x:c r="C1149" s="38" t="str"/>
      <x:c r="D1149" s="38" t="str">
        <x:f>""</x:f>
      </x:c>
      <x:c r="E1149" s="38" t="str">
        <x:f>""</x:f>
      </x:c>
      <x:c r="F1149" s="38" t="str"/>
      <x:c r="G1149" s="39" t="n">
        <x:v>46027</x:v>
      </x:c>
      <x:c r="H1149" s="16" t="str">
        <x:v>01/2026</x:v>
      </x:c>
      <x:c r="I1149" s="40" t="n">
        <x:v>3147.85</x:v>
      </x:c>
      <x:c r="J1149" s="40" t="n">
        <x:v>3147.85</x:v>
      </x:c>
      <x:c r="K1149" s="16" t="str">
        <x:v>Novo</x:v>
      </x:c>
      <x:c r="L1149" s="16" t="str">
        <x:v>Em aberto</x:v>
      </x:c>
      <x:c r="M1149" s="16" t="str">
        <x:v>08534312-6054-4a60-9271-1e5eccaba5c0</x:v>
      </x:c>
      <x:c r="N1149" s="41" t="str"/>
    </x:row>
    <x:row r="1150">
      <x:c r="A1150" s="37" t="str">
        <x:f>"000131"</x:f>
        <x:v>000131</x:v>
      </x:c>
      <x:c r="B1150" s="38" t="str">
        <x:f>"CIPÓ"</x:f>
        <x:v>CIPÓ</x:v>
      </x:c>
      <x:c r="C1150" s="38" t="str"/>
      <x:c r="D1150" s="38" t="str">
        <x:f>""</x:f>
      </x:c>
      <x:c r="E1150" s="38" t="str">
        <x:f>""</x:f>
      </x:c>
      <x:c r="F1150" s="38" t="str"/>
      <x:c r="G1150" s="39" t="n">
        <x:v>46058</x:v>
      </x:c>
      <x:c r="H1150" s="16" t="str">
        <x:v>02/2026</x:v>
      </x:c>
      <x:c r="I1150" s="40" t="n">
        <x:v>2883.43</x:v>
      </x:c>
      <x:c r="J1150" s="40" t="n">
        <x:v>2883.43</x:v>
      </x:c>
      <x:c r="K1150" s="16" t="str">
        <x:v>Novo</x:v>
      </x:c>
      <x:c r="L1150" s="16" t="str">
        <x:v>Em aberto</x:v>
      </x:c>
      <x:c r="M1150" s="16" t="str">
        <x:v>c2ffc0a8-0af9-41db-994c-a883fe4325e8</x:v>
      </x:c>
      <x:c r="N1150" s="41" t="str"/>
    </x:row>
    <x:row r="1151">
      <x:c r="A1151" s="37" t="str">
        <x:f>"000131"</x:f>
        <x:v>000131</x:v>
      </x:c>
      <x:c r="B1151" s="38" t="str">
        <x:f>"CIPÓ"</x:f>
        <x:v>CIPÓ</x:v>
      </x:c>
      <x:c r="C1151" s="38" t="str"/>
      <x:c r="D1151" s="38" t="str">
        <x:f>""</x:f>
      </x:c>
      <x:c r="E1151" s="38" t="str">
        <x:f>""</x:f>
      </x:c>
      <x:c r="F1151" s="38" t="str"/>
      <x:c r="G1151" s="39" t="n">
        <x:v>46086</x:v>
      </x:c>
      <x:c r="H1151" s="16" t="str">
        <x:v>03/2026</x:v>
      </x:c>
      <x:c r="I1151" s="40" t="n">
        <x:v>2227.86</x:v>
      </x:c>
      <x:c r="J1151" s="40" t="n">
        <x:v>2227.86</x:v>
      </x:c>
      <x:c r="K1151" s="16" t="str">
        <x:v>Novo</x:v>
      </x:c>
      <x:c r="L1151" s="16" t="str">
        <x:v>Em aberto</x:v>
      </x:c>
      <x:c r="M1151" s="16" t="str">
        <x:v>824b5927-037a-4dd3-a141-0df69c09705e</x:v>
      </x:c>
      <x:c r="N1151" s="41" t="str"/>
    </x:row>
    <x:row r="1152">
      <x:c r="A1152" s="37" t="str">
        <x:f>"000131"</x:f>
        <x:v>000131</x:v>
      </x:c>
      <x:c r="B1152" s="38" t="str">
        <x:f>"CIPÓ"</x:f>
        <x:v>CIPÓ</x:v>
      </x:c>
      <x:c r="C1152" s="38" t="str"/>
      <x:c r="D1152" s="38" t="str">
        <x:f>""</x:f>
      </x:c>
      <x:c r="E1152" s="38" t="str">
        <x:f>""</x:f>
      </x:c>
      <x:c r="F1152" s="38" t="str"/>
      <x:c r="G1152" s="39" t="n">
        <x:v>46117</x:v>
      </x:c>
      <x:c r="H1152" s="16" t="str">
        <x:v>04/2026</x:v>
      </x:c>
      <x:c r="I1152" s="40" t="n">
        <x:v>2305.67</x:v>
      </x:c>
      <x:c r="J1152" s="40" t="n">
        <x:v>2305.67</x:v>
      </x:c>
      <x:c r="K1152" s="16" t="str">
        <x:v>Novo</x:v>
      </x:c>
      <x:c r="L1152" s="16" t="str">
        <x:v>Em aberto</x:v>
      </x:c>
      <x:c r="M1152" s="16" t="str">
        <x:v>c8003dc0-baff-4fdb-93ad-0d006f12b427</x:v>
      </x:c>
      <x:c r="N1152" s="41" t="str"/>
    </x:row>
    <x:row r="1153">
      <x:c r="A1153" s="37" t="str">
        <x:f>"000131"</x:f>
        <x:v>000131</x:v>
      </x:c>
      <x:c r="B1153" s="38" t="str">
        <x:f>"CIPÓ"</x:f>
        <x:v>CIPÓ</x:v>
      </x:c>
      <x:c r="C1153" s="38" t="str"/>
      <x:c r="D1153" s="38" t="str">
        <x:f>""</x:f>
      </x:c>
      <x:c r="E1153" s="38" t="str">
        <x:f>""</x:f>
      </x:c>
      <x:c r="F1153" s="38" t="str"/>
      <x:c r="G1153" s="39" t="n">
        <x:v>46147</x:v>
      </x:c>
      <x:c r="H1153" s="16" t="str">
        <x:v>05/2026</x:v>
      </x:c>
      <x:c r="I1153" s="40" t="n">
        <x:v>2413.52</x:v>
      </x:c>
      <x:c r="J1153" s="40" t="n">
        <x:v>2413.52</x:v>
      </x:c>
      <x:c r="K1153" s="16" t="str">
        <x:v>Novo</x:v>
      </x:c>
      <x:c r="L1153" s="16" t="str">
        <x:v>Em aberto</x:v>
      </x:c>
      <x:c r="M1153" s="16" t="str">
        <x:v>a47e1331-f617-4235-bd3d-c523051616ee</x:v>
      </x:c>
      <x:c r="N1153" s="41" t="str"/>
    </x:row>
    <x:row r="1154">
      <x:c r="A1154" s="37" t="str">
        <x:f>"000191"</x:f>
        <x:v>000191</x:v>
      </x:c>
      <x:c r="B1154" s="38" t="str">
        <x:f>"CIPÓ"</x:f>
        <x:v>CIPÓ</x:v>
      </x:c>
      <x:c r="C1154" s="38" t="str"/>
      <x:c r="D1154" s="38" t="str">
        <x:f>""</x:f>
      </x:c>
      <x:c r="E1154" s="38" t="str">
        <x:f>""</x:f>
      </x:c>
      <x:c r="F1154" s="38" t="str"/>
      <x:c r="G1154" s="39" t="n">
        <x:v>46117</x:v>
      </x:c>
      <x:c r="H1154" s="16" t="str">
        <x:v>04/2026</x:v>
      </x:c>
      <x:c r="I1154" s="40" t="n">
        <x:v>2430.93</x:v>
      </x:c>
      <x:c r="J1154" s="40" t="n">
        <x:v>2430.93</x:v>
      </x:c>
      <x:c r="K1154" s="16" t="str">
        <x:v>Novo</x:v>
      </x:c>
      <x:c r="L1154" s="16" t="str">
        <x:v>Em aberto</x:v>
      </x:c>
      <x:c r="M1154" s="16" t="str">
        <x:v>4fe46d8b-96a7-4d46-bf06-e8304ef171b7</x:v>
      </x:c>
      <x:c r="N1154" s="41" t="str"/>
    </x:row>
    <x:row r="1155">
      <x:c r="A1155" s="37" t="str">
        <x:f>"000191"</x:f>
        <x:v>000191</x:v>
      </x:c>
      <x:c r="B1155" s="38" t="str">
        <x:f>"CIPÓ"</x:f>
        <x:v>CIPÓ</x:v>
      </x:c>
      <x:c r="C1155" s="38" t="str"/>
      <x:c r="D1155" s="38" t="str">
        <x:f>""</x:f>
      </x:c>
      <x:c r="E1155" s="38" t="str">
        <x:f>""</x:f>
      </x:c>
      <x:c r="F1155" s="38" t="str"/>
      <x:c r="G1155" s="39" t="n">
        <x:v>46147</x:v>
      </x:c>
      <x:c r="H1155" s="16" t="str">
        <x:v>05/2026</x:v>
      </x:c>
      <x:c r="I1155" s="40" t="n">
        <x:v>2613.88</x:v>
      </x:c>
      <x:c r="J1155" s="40" t="n">
        <x:v>2613.88</x:v>
      </x:c>
      <x:c r="K1155" s="16" t="str">
        <x:v>Novo</x:v>
      </x:c>
      <x:c r="L1155" s="16" t="str">
        <x:v>Em aberto</x:v>
      </x:c>
      <x:c r="M1155" s="16" t="str">
        <x:v>df80ea87-6ee9-44ef-a786-02dfc1d3a3fb</x:v>
      </x:c>
      <x:c r="N1155" s="41" t="str"/>
    </x:row>
    <x:row r="1156">
      <x:c r="A1156" s="37" t="str">
        <x:f>"000384"</x:f>
        <x:v>000384</x:v>
      </x:c>
      <x:c r="B1156" s="38" t="str">
        <x:f>"CIPÓ"</x:f>
        <x:v>CIPÓ</x:v>
      </x:c>
      <x:c r="C1156" s="38" t="str"/>
      <x:c r="D1156" s="38" t="str">
        <x:f>""</x:f>
      </x:c>
      <x:c r="E1156" s="38" t="str">
        <x:f>""</x:f>
      </x:c>
      <x:c r="F1156" s="38" t="str"/>
      <x:c r="G1156" s="39" t="n">
        <x:v>46117</x:v>
      </x:c>
      <x:c r="H1156" s="16" t="str">
        <x:v>04/2026</x:v>
      </x:c>
      <x:c r="I1156" s="40" t="n">
        <x:v>2296.19</x:v>
      </x:c>
      <x:c r="J1156" s="40" t="n">
        <x:v>2296.19</x:v>
      </x:c>
      <x:c r="K1156" s="16" t="str">
        <x:v>Novo</x:v>
      </x:c>
      <x:c r="L1156" s="16" t="str">
        <x:v>Em aberto</x:v>
      </x:c>
      <x:c r="M1156" s="16" t="str">
        <x:v>7ed2ad15-0326-47ae-8854-f0d16ca8c1c3</x:v>
      </x:c>
      <x:c r="N1156" s="41" t="str"/>
    </x:row>
    <x:row r="1157">
      <x:c r="A1157" s="42" t="str">
        <x:f>"000385"</x:f>
        <x:v>000385</x:v>
      </x:c>
      <x:c r="B1157" s="43" t="str">
        <x:f>"CIPÓ"</x:f>
        <x:v>CIPÓ</x:v>
      </x:c>
      <x:c r="C1157" s="43" t="str"/>
      <x:c r="D1157" s="43" t="str">
        <x:f>""</x:f>
      </x:c>
      <x:c r="E1157" s="43" t="str">
        <x:f>""</x:f>
      </x:c>
      <x:c r="F1157" s="43" t="str"/>
      <x:c r="G1157" s="44" t="n">
        <x:v>46147</x:v>
      </x:c>
      <x:c r="H1157" s="20" t="str">
        <x:v>05/2026</x:v>
      </x:c>
      <x:c r="I1157" s="45" t="n">
        <x:v>1874.41</x:v>
      </x:c>
      <x:c r="J1157" s="45" t="n">
        <x:v>1874.41</x:v>
      </x:c>
      <x:c r="K1157" s="20" t="str">
        <x:v>Novo</x:v>
      </x:c>
      <x:c r="L1157" s="20" t="str">
        <x:v>Em aberto</x:v>
      </x:c>
      <x:c r="M1157" s="20" t="str">
        <x:v>c9384389-b9ea-427c-91ac-db104625d95f</x:v>
      </x:c>
      <x:c r="N1157" s="46" t="str"/>
    </x:row>
    <x:row r="1158">
      <x:c r="A1158" s="47" t="str">
        <x:v>Subtotal</x:v>
      </x:c>
      <x:c r="B1158" s="47" t="str"/>
      <x:c r="C1158" s="47" t="str"/>
      <x:c r="D1158" s="47" t="str"/>
      <x:c r="E1158" s="47" t="str"/>
      <x:c r="F1158" s="47" t="str"/>
      <x:c r="G1158" s="47" t="str"/>
      <x:c r="H1158" s="47" t="str"/>
      <x:c r="I1158" s="47" t="str"/>
      <x:c r="J1158" s="48" t="n">
        <x:v>26723.66</x:v>
      </x:c>
      <x:c r="K1158" s="47" t="str">
        <x:v>11 novas</x:v>
      </x:c>
      <x:c r="L1158" s="47" t="str">
        <x:v>0 ativas</x:v>
      </x:c>
      <x:c r="M1158" s="47" t="str"/>
      <x:c r="N1158" s="47" t="str"/>
    </x:row>
  </x:sheetData>
  <x:mergeCells>
    <x:mergeCell ref="A1:N1"/>
    <x:mergeCell ref="A3:N3"/>
    <x:mergeCell ref="A5:N5"/>
    <x:mergeCell ref="B6:C6"/>
    <x:mergeCell ref="G6:N6"/>
    <x:mergeCell ref="A20:N20"/>
    <x:mergeCell ref="B21:C21"/>
    <x:mergeCell ref="G21:N21"/>
    <x:mergeCell ref="A33:N33"/>
    <x:mergeCell ref="B34:C34"/>
    <x:mergeCell ref="G34:N34"/>
    <x:mergeCell ref="A287:N287"/>
    <x:mergeCell ref="B288:C288"/>
    <x:mergeCell ref="G288:N288"/>
    <x:mergeCell ref="A314:N314"/>
    <x:mergeCell ref="A316:N316"/>
    <x:mergeCell ref="B317:C317"/>
    <x:mergeCell ref="G317:N317"/>
    <x:mergeCell ref="A323:N323"/>
    <x:mergeCell ref="B324:C324"/>
    <x:mergeCell ref="G324:N324"/>
    <x:mergeCell ref="A425:N425"/>
    <x:mergeCell ref="B426:C426"/>
    <x:mergeCell ref="G426:N426"/>
    <x:mergeCell ref="A449:N449"/>
    <x:mergeCell ref="B450:C450"/>
    <x:mergeCell ref="G450:N450"/>
    <x:mergeCell ref="A479:N479"/>
    <x:mergeCell ref="A481:N481"/>
    <x:mergeCell ref="B482:C482"/>
    <x:mergeCell ref="G482:N482"/>
    <x:mergeCell ref="A551:N551"/>
    <x:mergeCell ref="B552:C552"/>
    <x:mergeCell ref="G552:N552"/>
    <x:mergeCell ref="A557:N557"/>
    <x:mergeCell ref="B558:C558"/>
    <x:mergeCell ref="G558:N558"/>
    <x:mergeCell ref="A570:N570"/>
    <x:mergeCell ref="B571:C571"/>
    <x:mergeCell ref="G571:N571"/>
    <x:mergeCell ref="A582:N582"/>
    <x:mergeCell ref="B583:C583"/>
    <x:mergeCell ref="G583:N583"/>
    <x:mergeCell ref="A615:N615"/>
    <x:mergeCell ref="B616:C616"/>
    <x:mergeCell ref="G616:N616"/>
    <x:mergeCell ref="A628:N628"/>
    <x:mergeCell ref="B629:C629"/>
    <x:mergeCell ref="G629:N629"/>
    <x:mergeCell ref="A662:N662"/>
    <x:mergeCell ref="B663:C663"/>
    <x:mergeCell ref="G663:N663"/>
    <x:mergeCell ref="A669:N669"/>
    <x:mergeCell ref="B670:C670"/>
    <x:mergeCell ref="G670:N670"/>
    <x:mergeCell ref="A690:N690"/>
    <x:mergeCell ref="B691:C691"/>
    <x:mergeCell ref="G691:N691"/>
    <x:mergeCell ref="A702:N702"/>
    <x:mergeCell ref="B703:C703"/>
    <x:mergeCell ref="G703:N703"/>
    <x:mergeCell ref="A719:N719"/>
    <x:mergeCell ref="B720:C720"/>
    <x:mergeCell ref="G720:N720"/>
    <x:mergeCell ref="A736:N736"/>
    <x:mergeCell ref="B737:C737"/>
    <x:mergeCell ref="G737:N737"/>
    <x:mergeCell ref="A743:N743"/>
    <x:mergeCell ref="B744:C744"/>
    <x:mergeCell ref="G744:N744"/>
    <x:mergeCell ref="A762:N762"/>
    <x:mergeCell ref="B763:C763"/>
    <x:mergeCell ref="G763:N763"/>
    <x:mergeCell ref="A778:N778"/>
    <x:mergeCell ref="B779:C779"/>
    <x:mergeCell ref="G779:N779"/>
    <x:mergeCell ref="A784:N784"/>
    <x:mergeCell ref="B785:C785"/>
    <x:mergeCell ref="G785:N785"/>
    <x:mergeCell ref="A831:N831"/>
    <x:mergeCell ref="B832:C832"/>
    <x:mergeCell ref="G832:N832"/>
    <x:mergeCell ref="A855:N855"/>
    <x:mergeCell ref="B856:C856"/>
    <x:mergeCell ref="G856:N856"/>
    <x:mergeCell ref="A872:N872"/>
    <x:mergeCell ref="B873:C873"/>
    <x:mergeCell ref="G873:N873"/>
    <x:mergeCell ref="A890:N890"/>
    <x:mergeCell ref="B891:C891"/>
    <x:mergeCell ref="G891:N891"/>
    <x:mergeCell ref="A899:N899"/>
    <x:mergeCell ref="B900:C900"/>
    <x:mergeCell ref="G900:N900"/>
    <x:mergeCell ref="A921:N921"/>
    <x:mergeCell ref="B922:C922"/>
    <x:mergeCell ref="G922:N922"/>
    <x:mergeCell ref="A958:N958"/>
    <x:mergeCell ref="B959:C959"/>
    <x:mergeCell ref="G959:N959"/>
    <x:mergeCell ref="A1019:N1019"/>
    <x:mergeCell ref="B1020:C1020"/>
    <x:mergeCell ref="G1020:N1020"/>
    <x:mergeCell ref="A1025:N1025"/>
    <x:mergeCell ref="A1027:N1027"/>
    <x:mergeCell ref="B1028:C1028"/>
    <x:mergeCell ref="G1028:N1028"/>
    <x:mergeCell ref="A1144:N1144"/>
    <x:mergeCell ref="B1145:C1145"/>
    <x:mergeCell ref="G1145:N1145"/>
  </x:mergeCells>
  <x:pageMargins left="0.7" right="0.7" top="0.75" bottom="0.75" header="0.3" footer="0.3"/>
</x:worksheet>
</file>