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4db477fa3445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492d8d0ea0d246c6"/>
    <x:sheet xmlns:r="http://schemas.openxmlformats.org/officeDocument/2006/relationships" name="Detalhe por condomínio" sheetId="2" r:id="Rfe783e0ef86b45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R$&quot; #,##0.00"/>
    <x:numFmt numFmtId="201" formatCode="#,##0"/>
    <x:numFmt numFmtId="202" formatCode="@"/>
    <x:numFmt numFmtId="203" formatCode="yyyy-mm-dd"/>
  </x:numFmts>
  <x:fonts count="7">
    <x:font>
      <x:sz val="11"/>
      <x:name val="Carlito"/>
    </x:font>
    <x:font>
      <x:b/>
      <x:sz val="15"/>
      <x:color rgb="FFFFFFFF"/>
      <x:name val="Carlito"/>
    </x:font>
    <x:font>
      <x:sz val="11"/>
      <x:color rgb="FF155E75"/>
      <x:name val="Carlito"/>
    </x:font>
    <x:font>
      <x:b/>
      <x:sz val="14"/>
      <x:color rgb="FF020617"/>
      <x:name val="Carlito"/>
    </x:font>
    <x:font>
      <x:b/>
      <x:sz val="11"/>
      <x:color rgb="FFFFFFFF"/>
      <x:name val="Carlito"/>
    </x:font>
    <x:font>
      <x:b/>
      <x:sz val="13"/>
      <x:color rgb="FF0F172A"/>
      <x:name val="Carlito"/>
    </x:font>
    <x:font>
      <x:b/>
      <x:sz val="11"/>
      <x:color rgb="FF0F172A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83344"/>
      </x:patternFill>
    </x:fill>
    <x:fill>
      <x:patternFill patternType="solid">
        <x:fgColor rgb="FFECFEFF"/>
      </x:patternFill>
    </x:fill>
    <x:fill>
      <x:patternFill patternType="solid">
        <x:fgColor rgb="FFF8FAFC"/>
      </x:patternFill>
    </x:fill>
    <x:fill>
      <x:patternFill patternType="solid">
        <x:fgColor rgb="FF075985"/>
      </x:patternFill>
    </x:fill>
    <x:fill>
      <x:patternFill patternType="solid">
        <x:fgColor rgb="FF0E7490"/>
      </x:patternFill>
    </x:fill>
    <x:fill>
      <x:patternFill patternType="solid">
        <x:fgColor rgb="FFDBEAFE"/>
      </x:patternFill>
    </x:fill>
    <x:fill>
      <x:patternFill patternType="solid">
        <x:fgColor rgb="FFE0F2FE"/>
      </x:patternFill>
    </x:fill>
  </x:fills>
  <x:borders count="13">
    <x:border/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right style="thin">
        <x:color rgb="FFE2E8F0"/>
      </x:right>
    </x:border>
    <x:border>
      <x:left style="thin">
        <x:color rgb="FFE2E8F0"/>
      </x:left>
      <x:right style="thin">
        <x:color rgb="FFE2E8F0"/>
      </x:right>
    </x:border>
    <x:border>
      <x:left style="thin">
        <x:color rgb="FFE2E8F0"/>
      </x:left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1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1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2" xfId="0" applyNumberFormat="1" applyFont="1" applyFill="1" applyBorder="1"/>
    <x:xf numFmtId="203" fontId="0" fillId="0" borderId="2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0" borderId="3" xfId="0" applyNumberFormat="1" applyFont="1" applyFill="1" applyBorder="1"/>
    <x:xf numFmtId="202" fontId="0" fillId="0" borderId="7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6" fillId="4" borderId="0" xfId="0" applyNumberFormat="1" applyFont="1" applyFill="1" applyBorder="1"/>
    <x:xf numFmtId="200" fontId="6" fillId="4" borderId="0" xfId="0" applyNumberFormat="1" applyFont="1" applyFill="1" applyBorder="1"/>
    <x:xf numFmtId="202" fontId="0" fillId="0" borderId="10" xfId="0" applyNumberFormat="1" applyFont="1" applyFill="1" applyBorder="1"/>
    <x:xf numFmtId="202" fontId="0" fillId="0" borderId="11" xfId="0" applyNumberFormat="1" applyFont="1" applyFill="1" applyBorder="1"/>
    <x:xf numFmtId="203" fontId="0" fillId="0" borderId="11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0" fontId="0" fillId="0" borderId="1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5a8808734f4693" /><Relationship Type="http://schemas.openxmlformats.org/officeDocument/2006/relationships/theme" Target="/xl/theme/theme1.xml" Id="R57dfce23c0ae4743" /><Relationship Type="http://schemas.openxmlformats.org/officeDocument/2006/relationships/sharedStrings" Target="/xl/sharedStrings.xml" Id="R14904c3d757c44ca" /><Relationship Type="http://schemas.openxmlformats.org/officeDocument/2006/relationships/worksheet" Target="/xl/worksheets/sheet1.xml" Id="R492d8d0ea0d246c6" /><Relationship Type="http://schemas.openxmlformats.org/officeDocument/2006/relationships/worksheet" Target="/xl/worksheets/sheet2.xml" Id="Rfe783e0ef86b45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20" hidden="0" customWidth="1"/>
    <x:col min="4" max="4" width="22" hidden="0" customWidth="1"/>
    <x:col min="5" max="5" width="38" hidden="0" customWidth="1"/>
    <x:col min="6" max="6" width="12" hidden="0" customWidth="1"/>
    <x:col min="7" max="7" width="12" hidden="0" customWidth="1"/>
    <x:col min="8" max="8" width="18" hidden="0" customWidth="1"/>
  </x:cols>
  <x:sheetData>
    <x:row r="1">
      <x:c r="A1" s="2" t="str">
        <x:v>Relatório de cobranças ativas por carteira e condomínio</x:v>
      </x:c>
    </x:row>
    <x:row r="2">
      <x:c r="A2" s="4" t="str">
        <x:v>Base: somente cobranças com status Em cobrança ativa · Gerado em 18/08/2026, 10:01:11</x:v>
      </x:c>
    </x:row>
    <x:row r="4">
      <x:c r="A4" s="6" t="str">
        <x:v>Carteiras</x:v>
      </x:c>
      <x:c r="B4" s="6" t="str">
        <x:v>Condomínios</x:v>
      </x:c>
      <x:c r="C4" s="6" t="str">
        <x:v>Unidades</x:v>
      </x:c>
      <x:c r="D4" s="6" t="str">
        <x:v>Cobranças ativas</x:v>
      </x:c>
      <x:c r="E4" s="7" t="str">
        <x:v>Valor atualizado</x:v>
      </x:c>
    </x:row>
    <x:row r="5">
      <x:c r="A5" t="n">
        <x:v>3</x:v>
      </x:c>
      <x:c r="B5" t="n">
        <x:v>5</x:v>
      </x:c>
      <x:c r="C5" t="n">
        <x:v>6</x:v>
      </x:c>
      <x:c r="D5" t="n">
        <x:v>6</x:v>
      </x:c>
      <x:c r="E5" t="n">
        <x:v>11302.59</x:v>
      </x:c>
    </x:row>
    <x:row r="8">
      <x:c r="A8" s="12" t="str">
        <x:v>Carteira</x:v>
      </x:c>
      <x:c r="B8" s="13" t="str">
        <x:v>Condomínio</x:v>
      </x:c>
      <x:c r="C8" s="13" t="str">
        <x:v>CNPJ</x:v>
      </x:c>
      <x:c r="D8" s="13" t="str">
        <x:v>Dia venc.</x:v>
      </x:c>
      <x:c r="E8" s="13" t="str">
        <x:v>Régua</x:v>
      </x:c>
      <x:c r="F8" s="13" t="str">
        <x:v>Unidades</x:v>
      </x:c>
      <x:c r="G8" s="13" t="str">
        <x:v>Cobranças</x:v>
      </x:c>
      <x:c r="H8" s="14" t="str">
        <x:v>Valor atualizado</x:v>
      </x:c>
    </x:row>
    <x:row r="9">
      <x:c r="A9" s="15" t="str">
        <x:v>Azevedo Araújo</x:v>
      </x:c>
      <x:c r="B9" s="16" t="str">
        <x:v>CONDOMÍNIO BEM MOEMA - SETOR RESIDENCIAL</x:v>
      </x:c>
      <x:c r="C9" s="16" t="str">
        <x:v>63.819.144/0001-94</x:v>
      </x:c>
      <x:c r="D9" s="16" t="n">
        <x:v>10</x:v>
      </x:c>
      <x:c r="E9" s="16" t="str">
        <x:v>D+30</x:v>
      </x:c>
      <x:c r="F9" s="17" t="n">
        <x:v>2</x:v>
      </x:c>
      <x:c r="G9" s="17" t="n">
        <x:v>2</x:v>
      </x:c>
      <x:c r="H9" s="18" t="n">
        <x:v>5400.45</x:v>
      </x:c>
    </x:row>
    <x:row r="10">
      <x:c r="A10" s="15" t="str">
        <x:v>Azevedo Araújo</x:v>
      </x:c>
      <x:c r="B10" s="16" t="str">
        <x:v>CONDOMINIO SAFIRA</x:v>
      </x:c>
      <x:c r="C10" s="16" t="str">
        <x:v>55.361.065/0001-54</x:v>
      </x:c>
      <x:c r="D10" s="16" t="n">
        <x:v>10</x:v>
      </x:c>
      <x:c r="E10" s="16" t="str">
        <x:v>D+30</x:v>
      </x:c>
      <x:c r="F10" s="17" t="n">
        <x:v>1</x:v>
      </x:c>
      <x:c r="G10" s="17" t="n">
        <x:v>1</x:v>
      </x:c>
      <x:c r="H10" s="18" t="n">
        <x:v>449.25</x:v>
      </x:c>
    </x:row>
    <x:row r="11">
      <x:c r="A11" s="15" t="str">
        <x:v>GEKALI</x:v>
      </x:c>
      <x:c r="B11" s="16" t="str">
        <x:v>SUBCONDOMINIO EDIFICIO OFFICE TAMBORE</x:v>
      </x:c>
      <x:c r="C11" s="16" t="str">
        <x:v>11.772.599/0001-06</x:v>
      </x:c>
      <x:c r="D11" s="16" t="n">
        <x:v>10</x:v>
      </x:c>
      <x:c r="E11" s="16" t="str">
        <x:v>D+30</x:v>
      </x:c>
      <x:c r="F11" s="17" t="n">
        <x:v>1</x:v>
      </x:c>
      <x:c r="G11" s="17" t="n">
        <x:v>1</x:v>
      </x:c>
      <x:c r="H11" s="18" t="n">
        <x:v>2433.93</x:v>
      </x:c>
    </x:row>
    <x:row r="12">
      <x:c r="A12" s="15" t="str">
        <x:v>Genske Advogados</x:v>
      </x:c>
      <x:c r="B12" s="16" t="str">
        <x:v>CONDOMÍNIO EDIFÍCIO CACIQUE</x:v>
      </x:c>
      <x:c r="C12" s="16" t="str">
        <x:v>55.234.678/0001-20</x:v>
      </x:c>
      <x:c r="D12" s="16" t="n">
        <x:v>1</x:v>
      </x:c>
      <x:c r="E12" s="16" t="str">
        <x:v>D+30 · pré-jurídico em D+60</x:v>
      </x:c>
      <x:c r="F12" s="17" t="n">
        <x:v>1</x:v>
      </x:c>
      <x:c r="G12" s="17" t="n">
        <x:v>1</x:v>
      </x:c>
      <x:c r="H12" s="18" t="n">
        <x:v>2400.35</x:v>
      </x:c>
    </x:row>
    <x:row r="13">
      <x:c r="A13" s="19" t="str">
        <x:v>Genske Advogados</x:v>
      </x:c>
      <x:c r="B13" s="20" t="str">
        <x:v>CONDOMÍNIO NEW WAY</x:v>
      </x:c>
      <x:c r="C13" s="20" t="str">
        <x:v>23.896.621/0001-09</x:v>
      </x:c>
      <x:c r="D13" s="20" t="n">
        <x:v>10</x:v>
      </x:c>
      <x:c r="E13" s="20" t="str">
        <x:v>D+60 · pré-jurídico em D+90</x:v>
      </x:c>
      <x:c r="F13" s="21" t="n">
        <x:v>1</x:v>
      </x:c>
      <x:c r="G13" s="21" t="n">
        <x:v>1</x:v>
      </x:c>
      <x:c r="H13" s="22" t="n">
        <x:v>618.61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32" hidden="0" customWidth="1"/>
    <x:col min="4" max="4" width="18" hidden="0" customWidth="1"/>
    <x:col min="5" max="5" width="18" hidden="0" customWidth="1"/>
    <x:col min="6" max="6" width="28" hidden="0" customWidth="1"/>
    <x:col min="7" max="7" width="13" hidden="0" customWidth="1"/>
    <x:col min="8" max="8" width="14" hidden="0" customWidth="1"/>
    <x:col min="9" max="9" width="16" hidden="0" customWidth="1"/>
    <x:col min="10" max="10" width="17" hidden="0" customWidth="1"/>
    <x:col min="11" max="11" width="20" hidden="0" customWidth="1"/>
    <x:col min="12" max="12" width="18" hidden="0" customWidth="1"/>
    <x:col min="13" max="13" width="38" hidden="0" customWidth="1"/>
    <x:col min="14" max="14" width="22" hidden="0" customWidth="1"/>
  </x:cols>
  <x:sheetData>
    <x:row r="1">
      <x:c r="A1" s="2" t="str">
        <x:v>Cobranças ativas agrupadas por carteira e condomínio</x:v>
      </x:c>
    </x:row>
    <x:row r="3">
      <x:c r="A3" s="24" t="str">
        <x:v>CARTEIRA: Azevedo Araújo · 3 cobranças · 3 unidades · R$ 5.849,70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</x:row>
    <x:row r="5">
      <x:c r="A5" s="26" t="str">
        <x:v>CONDOMÍNIO BEM MOEMA - SETOR RESIDENCIAL</x:v>
      </x:c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</x:row>
    <x:row r="6">
      <x:c r="A6" s="28" t="str">
        <x:v>CNPJ</x:v>
      </x:c>
      <x:c r="B6" s="28" t="str">
        <x:v>63.819.144/0001-94</x:v>
      </x:c>
      <x:c r="C6" s="28"/>
      <x:c r="D6" s="28" t="str">
        <x:v>Dia de vencimento</x:v>
      </x:c>
      <x:c r="E6" s="28" t="n">
        <x:v>10</x:v>
      </x:c>
      <x:c r="F6" s="28" t="str">
        <x:v>Régua</x:v>
      </x:c>
      <x:c r="G6" s="28" t="str">
        <x:v>D+30</x:v>
      </x:c>
      <x:c r="H6" s="28"/>
      <x:c r="I6" s="28"/>
      <x:c r="J6" s="28"/>
      <x:c r="K6" s="28"/>
      <x:c r="L6" s="28"/>
      <x:c r="M6" s="28"/>
      <x:c r="N6" s="28"/>
    </x:row>
    <x:row r="7">
      <x:c r="A7" s="9" t="str">
        <x:v>Unidade</x:v>
      </x:c>
      <x:c r="B7" s="9" t="str">
        <x:v>Bloco</x:v>
      </x:c>
      <x:c r="C7" s="9" t="str">
        <x:v>Responsável</x:v>
      </x:c>
      <x:c r="D7" s="9" t="str">
        <x:v>Documento</x:v>
      </x:c>
      <x:c r="E7" s="9" t="str">
        <x:v>Telefone</x:v>
      </x:c>
      <x:c r="F7" s="9" t="str">
        <x:v>E-mail</x:v>
      </x:c>
      <x:c r="G7" s="9" t="str">
        <x:v>Vencimento</x:v>
      </x:c>
      <x:c r="H7" s="9" t="str">
        <x:v>Competência</x:v>
      </x:c>
      <x:c r="I7" s="9" t="str">
        <x:v>Valor original</x:v>
      </x:c>
      <x:c r="J7" s="9" t="str">
        <x:v>Valor atualizado</x:v>
      </x:c>
      <x:c r="K7" s="9" t="str">
        <x:v>Status operacional</x:v>
      </x:c>
      <x:c r="L7" s="9" t="str">
        <x:v>Status financeiro</x:v>
      </x:c>
      <x:c r="M7" s="9" t="str">
        <x:v>ID cobrança</x:v>
      </x:c>
      <x:c r="N7" s="9" t="str">
        <x:v>Observação</x:v>
      </x:c>
    </x:row>
    <x:row r="8">
      <x:c r="A8" s="31" t="str">
        <x:f>"000064"</x:f>
        <x:v>000064</x:v>
      </x:c>
      <x:c r="B8" s="32" t="str">
        <x:f>"0"</x:f>
        <x:v>0</x:v>
      </x:c>
      <x:c r="C8" s="32" t="str">
        <x:v>CAPITAL - PROP E INVEST IMOB LTDA</x:v>
      </x:c>
      <x:c r="D8" s="32" t="str">
        <x:f>"40133822000165"</x:f>
        <x:v>40133822000165</x:v>
      </x:c>
      <x:c r="E8" s="32" t="str">
        <x:f>"84999390050"</x:f>
        <x:v>84999390050</x:v>
      </x:c>
      <x:c r="F8" s="32" t="str">
        <x:v>brenna@usa.com</x:v>
      </x:c>
      <x:c r="G8" s="33" t="n">
        <x:v>46183</x:v>
      </x:c>
      <x:c r="H8" s="34" t="str">
        <x:v>06/2026</x:v>
      </x:c>
      <x:c r="I8" s="35" t="n">
        <x:v>3193.26</x:v>
      </x:c>
      <x:c r="J8" s="35" t="n">
        <x:v>3289.7</x:v>
      </x:c>
      <x:c r="K8" s="34" t="str">
        <x:v>Em cobrança ativa</x:v>
      </x:c>
      <x:c r="L8" s="34" t="str">
        <x:v>Em aberto</x:v>
      </x:c>
      <x:c r="M8" s="34" t="str">
        <x:v>1fe2eb1f-8176-422c-8d38-d3d02412efd0</x:v>
      </x:c>
      <x:c r="N8" s="36" t="str"/>
    </x:row>
    <x:row r="9">
      <x:c r="A9" s="37" t="str">
        <x:f>"000155"</x:f>
        <x:v>000155</x:v>
      </x:c>
      <x:c r="B9" s="38" t="str">
        <x:f>"0"</x:f>
        <x:v>0</x:v>
      </x:c>
      <x:c r="C9" s="38" t="str">
        <x:v>LEILANE SOUZA DE CAMARGO</x:v>
      </x:c>
      <x:c r="D9" s="38" t="str">
        <x:f>"38023481843"</x:f>
        <x:v>38023481843</x:v>
      </x:c>
      <x:c r="E9" s="38" t="str">
        <x:f>"13974094840"</x:f>
        <x:v>13974094840</x:v>
      </x:c>
      <x:c r="F9" s="38" t="str">
        <x:v>leilanescamargo@hotmail.com</x:v>
      </x:c>
      <x:c r="G9" s="39" t="n">
        <x:v>46122</x:v>
      </x:c>
      <x:c r="H9" s="20" t="str">
        <x:v>04/2026</x:v>
      </x:c>
      <x:c r="I9" s="40" t="n">
        <x:v>1949.17</x:v>
      </x:c>
      <x:c r="J9" s="40" t="n">
        <x:v>2110.75</x:v>
      </x:c>
      <x:c r="K9" s="20" t="str">
        <x:v>Em cobrança ativa</x:v>
      </x:c>
      <x:c r="L9" s="20" t="str">
        <x:v>Em aberto</x:v>
      </x:c>
      <x:c r="M9" s="20" t="str">
        <x:v>8316e1d9-6d24-401b-a442-ef73dd7a3c0e</x:v>
      </x:c>
      <x:c r="N9" s="41" t="str"/>
    </x:row>
    <x:row r="10">
      <x:c r="A10" s="42" t="str">
        <x:v>Subtotal</x:v>
      </x:c>
      <x:c r="B10" s="42" t="str"/>
      <x:c r="C10" s="42" t="str"/>
      <x:c r="D10" s="42" t="str"/>
      <x:c r="E10" s="42" t="str"/>
      <x:c r="F10" s="42" t="str"/>
      <x:c r="G10" s="42" t="str"/>
      <x:c r="H10" s="42" t="str"/>
      <x:c r="I10" s="42" t="str"/>
      <x:c r="J10" s="43" t="n">
        <x:v>5400.45</x:v>
      </x:c>
      <x:c r="K10" s="42" t="str"/>
      <x:c r="L10" s="42" t="str">
        <x:v>2 cobranças</x:v>
      </x:c>
      <x:c r="M10" s="42" t="str"/>
      <x:c r="N10" s="42" t="str"/>
    </x:row>
    <x:row r="12">
      <x:c r="A12" s="26" t="str">
        <x:v>CONDOMINIO SAFIRA</x:v>
      </x:c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</x:row>
    <x:row r="13">
      <x:c r="A13" s="28" t="str">
        <x:v>CNPJ</x:v>
      </x:c>
      <x:c r="B13" s="28" t="str">
        <x:v>55.361.065/0001-54</x:v>
      </x:c>
      <x:c r="C13" s="28"/>
      <x:c r="D13" s="28" t="str">
        <x:v>Dia de vencimento</x:v>
      </x:c>
      <x:c r="E13" s="28" t="n">
        <x:v>10</x:v>
      </x:c>
      <x:c r="F13" s="28" t="str">
        <x:v>Régua</x:v>
      </x:c>
      <x:c r="G13" s="28" t="str">
        <x:v>D+30</x:v>
      </x:c>
      <x:c r="H13" s="28"/>
      <x:c r="I13" s="28"/>
      <x:c r="J13" s="28"/>
      <x:c r="K13" s="28"/>
      <x:c r="L13" s="28"/>
      <x:c r="M13" s="28"/>
      <x:c r="N13" s="28"/>
    </x:row>
    <x:row r="14">
      <x:c r="A14" s="9" t="str">
        <x:v>Unidade</x:v>
      </x:c>
      <x:c r="B14" s="9" t="str">
        <x:v>Bloco</x:v>
      </x:c>
      <x:c r="C14" s="9" t="str">
        <x:v>Responsável</x:v>
      </x:c>
      <x:c r="D14" s="9" t="str">
        <x:v>Documento</x:v>
      </x:c>
      <x:c r="E14" s="9" t="str">
        <x:v>Telefone</x:v>
      </x:c>
      <x:c r="F14" s="9" t="str">
        <x:v>E-mail</x:v>
      </x:c>
      <x:c r="G14" s="9" t="str">
        <x:v>Vencimento</x:v>
      </x:c>
      <x:c r="H14" s="9" t="str">
        <x:v>Competência</x:v>
      </x:c>
      <x:c r="I14" s="9" t="str">
        <x:v>Valor original</x:v>
      </x:c>
      <x:c r="J14" s="9" t="str">
        <x:v>Valor atualizado</x:v>
      </x:c>
      <x:c r="K14" s="9" t="str">
        <x:v>Status operacional</x:v>
      </x:c>
      <x:c r="L14" s="9" t="str">
        <x:v>Status financeiro</x:v>
      </x:c>
      <x:c r="M14" s="9" t="str">
        <x:v>ID cobrança</x:v>
      </x:c>
      <x:c r="N14" s="9" t="str">
        <x:v>Observação</x:v>
      </x:c>
    </x:row>
    <x:row r="15">
      <x:c r="A15" s="44" t="str">
        <x:f>"61"</x:f>
        <x:v>61</x:v>
      </x:c>
      <x:c r="B15" s="45" t="str">
        <x:f>"5"</x:f>
        <x:v>5</x:v>
      </x:c>
      <x:c r="C15" s="45" t="str">
        <x:v>EDSON DA SILVA SANTOS SANCHES</x:v>
      </x:c>
      <x:c r="D15" s="45" t="str">
        <x:f>"18554973879"</x:f>
        <x:v>18554973879</x:v>
      </x:c>
      <x:c r="E15" s="45" t="str">
        <x:f>"11978655062"</x:f>
        <x:v>11978655062</x:v>
      </x:c>
      <x:c r="F15" s="45" t="str">
        <x:v>esanches407@gmail.com</x:v>
      </x:c>
      <x:c r="G15" s="46" t="n">
        <x:v>46152</x:v>
      </x:c>
      <x:c r="H15" s="47" t="str">
        <x:v>05/2026</x:v>
      </x:c>
      <x:c r="I15" s="48" t="n">
        <x:v>431.8</x:v>
      </x:c>
      <x:c r="J15" s="48" t="n">
        <x:v>449.25</x:v>
      </x:c>
      <x:c r="K15" s="47" t="str">
        <x:v>Em cobrança ativa</x:v>
      </x:c>
      <x:c r="L15" s="47" t="str">
        <x:v>Em aberto</x:v>
      </x:c>
      <x:c r="M15" s="47" t="str">
        <x:v>6f334c06-eeaf-4c2e-892d-b323d3fc3ee2</x:v>
      </x:c>
      <x:c r="N15" s="49" t="str"/>
    </x:row>
    <x:row r="16">
      <x:c r="A16" s="42" t="str">
        <x:v>Subtotal</x:v>
      </x:c>
      <x:c r="B16" s="42" t="str"/>
      <x:c r="C16" s="42" t="str"/>
      <x:c r="D16" s="42" t="str"/>
      <x:c r="E16" s="42" t="str"/>
      <x:c r="F16" s="42" t="str"/>
      <x:c r="G16" s="42" t="str"/>
      <x:c r="H16" s="42" t="str"/>
      <x:c r="I16" s="42" t="str"/>
      <x:c r="J16" s="43" t="n">
        <x:v>449.25</x:v>
      </x:c>
      <x:c r="K16" s="42" t="str"/>
      <x:c r="L16" s="42" t="str">
        <x:v>1 cobranças</x:v>
      </x:c>
      <x:c r="M16" s="42" t="str"/>
      <x:c r="N16" s="42" t="str"/>
    </x:row>
    <x:row r="18">
      <x:c r="A18" s="24" t="str">
        <x:v>CARTEIRA: GEKALI · 1 cobranças · 1 unidades · R$ 2.433,93</x:v>
      </x:c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</x:row>
    <x:row r="20">
      <x:c r="A20" s="26" t="str">
        <x:v>SUBCONDOMINIO EDIFICIO OFFICE TAMBORE</x:v>
      </x:c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</x:row>
    <x:row r="21">
      <x:c r="A21" s="28" t="str">
        <x:v>CNPJ</x:v>
      </x:c>
      <x:c r="B21" s="28" t="str">
        <x:v>11.772.599/0001-06</x:v>
      </x:c>
      <x:c r="C21" s="28"/>
      <x:c r="D21" s="28" t="str">
        <x:v>Dia de vencimento</x:v>
      </x:c>
      <x:c r="E21" s="28" t="n">
        <x:v>10</x:v>
      </x:c>
      <x:c r="F21" s="28" t="str">
        <x:v>Régua</x:v>
      </x:c>
      <x:c r="G21" s="28" t="str">
        <x:v>D+30</x:v>
      </x:c>
      <x:c r="H21" s="28"/>
      <x:c r="I21" s="28"/>
      <x:c r="J21" s="28"/>
      <x:c r="K21" s="28"/>
      <x:c r="L21" s="28"/>
      <x:c r="M21" s="28"/>
      <x:c r="N21" s="28"/>
    </x:row>
    <x:row r="22">
      <x:c r="A22" s="9" t="str">
        <x:v>Unidade</x:v>
      </x:c>
      <x:c r="B22" s="9" t="str">
        <x:v>Bloco</x:v>
      </x:c>
      <x:c r="C22" s="9" t="str">
        <x:v>Responsável</x:v>
      </x:c>
      <x:c r="D22" s="9" t="str">
        <x:v>Documento</x:v>
      </x:c>
      <x:c r="E22" s="9" t="str">
        <x:v>Telefone</x:v>
      </x:c>
      <x:c r="F22" s="9" t="str">
        <x:v>E-mail</x:v>
      </x:c>
      <x:c r="G22" s="9" t="str">
        <x:v>Vencimento</x:v>
      </x:c>
      <x:c r="H22" s="9" t="str">
        <x:v>Competência</x:v>
      </x:c>
      <x:c r="I22" s="9" t="str">
        <x:v>Valor original</x:v>
      </x:c>
      <x:c r="J22" s="9" t="str">
        <x:v>Valor atualizado</x:v>
      </x:c>
      <x:c r="K22" s="9" t="str">
        <x:v>Status operacional</x:v>
      </x:c>
      <x:c r="L22" s="9" t="str">
        <x:v>Status financeiro</x:v>
      </x:c>
      <x:c r="M22" s="9" t="str">
        <x:v>ID cobrança</x:v>
      </x:c>
      <x:c r="N22" s="9" t="str">
        <x:v>Observação</x:v>
      </x:c>
    </x:row>
    <x:row r="23">
      <x:c r="A23" s="44" t="str">
        <x:f>"001508"</x:f>
        <x:v>001508</x:v>
      </x:c>
      <x:c r="B23" s="45" t="str">
        <x:f>"OFFICE"</x:f>
        <x:v>OFFICE</x:v>
      </x:c>
      <x:c r="C23" s="45" t="str">
        <x:v>ADÉZIO OLIVEIRA SOARES</x:v>
      </x:c>
      <x:c r="D23" s="45" t="str">
        <x:f>"10834419572"</x:f>
        <x:v>10834419572</x:v>
      </x:c>
      <x:c r="E23" s="45" t="str">
        <x:f>"11968459212"</x:f>
        <x:v>11968459212</x:v>
      </x:c>
      <x:c r="F23" s="45" t="str">
        <x:v>rxs22@uol.com.br</x:v>
      </x:c>
      <x:c r="G23" s="46" t="n">
        <x:v>46183</x:v>
      </x:c>
      <x:c r="H23" s="47" t="str">
        <x:v>06/2026</x:v>
      </x:c>
      <x:c r="I23" s="48" t="n">
        <x:v>2433.93</x:v>
      </x:c>
      <x:c r="J23" s="48" t="n">
        <x:v>2433.93</x:v>
      </x:c>
      <x:c r="K23" s="47" t="str">
        <x:v>Em cobrança ativa</x:v>
      </x:c>
      <x:c r="L23" s="47" t="str">
        <x:v>Em aberto</x:v>
      </x:c>
      <x:c r="M23" s="47" t="str">
        <x:v>73e196c2-3b76-4e63-8cef-0bf4e9623264</x:v>
      </x:c>
      <x:c r="N23" s="49" t="str"/>
    </x:row>
    <x:row r="24">
      <x:c r="A24" s="42" t="str">
        <x:v>Subtotal</x:v>
      </x:c>
      <x:c r="B24" s="42" t="str"/>
      <x:c r="C24" s="42" t="str"/>
      <x:c r="D24" s="42" t="str"/>
      <x:c r="E24" s="42" t="str"/>
      <x:c r="F24" s="42" t="str"/>
      <x:c r="G24" s="42" t="str"/>
      <x:c r="H24" s="42" t="str"/>
      <x:c r="I24" s="42" t="str"/>
      <x:c r="J24" s="43" t="n">
        <x:v>2433.93</x:v>
      </x:c>
      <x:c r="K24" s="42" t="str"/>
      <x:c r="L24" s="42" t="str">
        <x:v>1 cobranças</x:v>
      </x:c>
      <x:c r="M24" s="42" t="str"/>
      <x:c r="N24" s="42" t="str"/>
    </x:row>
    <x:row r="26">
      <x:c r="A26" s="24" t="str">
        <x:v>CARTEIRA: Genske Advogados · 2 cobranças · 2 unidades · R$ 3.018,96</x:v>
      </x:c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</x:row>
    <x:row r="28">
      <x:c r="A28" s="26" t="str">
        <x:v>CONDOMÍNIO EDIFÍCIO CACIQUE</x:v>
      </x:c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</x:row>
    <x:row r="29">
      <x:c r="A29" s="28" t="str">
        <x:v>CNPJ</x:v>
      </x:c>
      <x:c r="B29" s="28" t="str">
        <x:v>55.234.678/0001-20</x:v>
      </x:c>
      <x:c r="C29" s="28"/>
      <x:c r="D29" s="28" t="str">
        <x:v>Dia de vencimento</x:v>
      </x:c>
      <x:c r="E29" s="28" t="n">
        <x:v>1</x:v>
      </x:c>
      <x:c r="F29" s="28" t="str">
        <x:v>Régua</x:v>
      </x:c>
      <x:c r="G29" s="28" t="str">
        <x:v>D+30 · pré-jurídico em D+60</x:v>
      </x:c>
      <x:c r="H29" s="28"/>
      <x:c r="I29" s="28"/>
      <x:c r="J29" s="28"/>
      <x:c r="K29" s="28"/>
      <x:c r="L29" s="28"/>
      <x:c r="M29" s="28"/>
      <x:c r="N29" s="28"/>
    </x:row>
    <x:row r="30">
      <x:c r="A30" s="9" t="str">
        <x:v>Unidade</x:v>
      </x:c>
      <x:c r="B30" s="9" t="str">
        <x:v>Bloco</x:v>
      </x:c>
      <x:c r="C30" s="9" t="str">
        <x:v>Responsável</x:v>
      </x:c>
      <x:c r="D30" s="9" t="str">
        <x:v>Documento</x:v>
      </x:c>
      <x:c r="E30" s="9" t="str">
        <x:v>Telefone</x:v>
      </x:c>
      <x:c r="F30" s="9" t="str">
        <x:v>E-mail</x:v>
      </x:c>
      <x:c r="G30" s="9" t="str">
        <x:v>Vencimento</x:v>
      </x:c>
      <x:c r="H30" s="9" t="str">
        <x:v>Competência</x:v>
      </x:c>
      <x:c r="I30" s="9" t="str">
        <x:v>Valor original</x:v>
      </x:c>
      <x:c r="J30" s="9" t="str">
        <x:v>Valor atualizado</x:v>
      </x:c>
      <x:c r="K30" s="9" t="str">
        <x:v>Status operacional</x:v>
      </x:c>
      <x:c r="L30" s="9" t="str">
        <x:v>Status financeiro</x:v>
      </x:c>
      <x:c r="M30" s="9" t="str">
        <x:v>ID cobrança</x:v>
      </x:c>
      <x:c r="N30" s="9" t="str">
        <x:v>Observação</x:v>
      </x:c>
    </x:row>
    <x:row r="31">
      <x:c r="A31" s="44" t="str">
        <x:f>"000012"</x:f>
        <x:v>000012</x:v>
      </x:c>
      <x:c r="B31" s="45" t="str">
        <x:f>"0"</x:f>
        <x:v>0</x:v>
      </x:c>
      <x:c r="C31" s="45" t="str">
        <x:v>EUGENIO CARLOS BARBOZA</x:v>
      </x:c>
      <x:c r="D31" s="45" t="str">
        <x:f>"23711728987"</x:f>
        <x:v>23711728987</x:v>
      </x:c>
      <x:c r="E31" s="45" t="str">
        <x:f>"31684495"</x:f>
        <x:v>31684495</x:v>
      </x:c>
      <x:c r="F31" s="45" t="str">
        <x:v>andrewfgb_00@hotmail.com</x:v>
      </x:c>
      <x:c r="G31" s="46" t="n">
        <x:v>46023</x:v>
      </x:c>
      <x:c r="H31" s="47" t="str">
        <x:v>01/2026</x:v>
      </x:c>
      <x:c r="I31" s="48" t="n">
        <x:v>2124.79</x:v>
      </x:c>
      <x:c r="J31" s="48" t="n">
        <x:v>2400.35</x:v>
      </x:c>
      <x:c r="K31" s="47" t="str">
        <x:v>Em cobrança ativa</x:v>
      </x:c>
      <x:c r="L31" s="47" t="str">
        <x:v>Em aberto</x:v>
      </x:c>
      <x:c r="M31" s="47" t="str">
        <x:v>032747aa-e7d4-4db1-bcec-f26f8b398020</x:v>
      </x:c>
      <x:c r="N31" s="49" t="str"/>
    </x:row>
    <x:row r="32">
      <x:c r="A32" s="42" t="str">
        <x:v>Subtotal</x:v>
      </x:c>
      <x:c r="B32" s="42" t="str"/>
      <x:c r="C32" s="42" t="str"/>
      <x:c r="D32" s="42" t="str"/>
      <x:c r="E32" s="42" t="str"/>
      <x:c r="F32" s="42" t="str"/>
      <x:c r="G32" s="42" t="str"/>
      <x:c r="H32" s="42" t="str"/>
      <x:c r="I32" s="42" t="str"/>
      <x:c r="J32" s="43" t="n">
        <x:v>2400.35</x:v>
      </x:c>
      <x:c r="K32" s="42" t="str"/>
      <x:c r="L32" s="42" t="str">
        <x:v>1 cobranças</x:v>
      </x:c>
      <x:c r="M32" s="42" t="str"/>
      <x:c r="N32" s="42" t="str"/>
    </x:row>
    <x:row r="34">
      <x:c r="A34" s="26" t="str">
        <x:v>CONDOMÍNIO NEW WAY</x:v>
      </x:c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</x:row>
    <x:row r="35">
      <x:c r="A35" s="28" t="str">
        <x:v>CNPJ</x:v>
      </x:c>
      <x:c r="B35" s="28" t="str">
        <x:v>23.896.621/0001-09</x:v>
      </x:c>
      <x:c r="C35" s="28"/>
      <x:c r="D35" s="28" t="str">
        <x:v>Dia de vencimento</x:v>
      </x:c>
      <x:c r="E35" s="28" t="n">
        <x:v>10</x:v>
      </x:c>
      <x:c r="F35" s="28" t="str">
        <x:v>Régua</x:v>
      </x:c>
      <x:c r="G35" s="28" t="str">
        <x:v>D+60 · pré-jurídico em D+90</x:v>
      </x:c>
      <x:c r="H35" s="28"/>
      <x:c r="I35" s="28"/>
      <x:c r="J35" s="28"/>
      <x:c r="K35" s="28"/>
      <x:c r="L35" s="28"/>
      <x:c r="M35" s="28"/>
      <x:c r="N35" s="28"/>
    </x:row>
    <x:row r="36">
      <x:c r="A36" s="9" t="str">
        <x:v>Unidade</x:v>
      </x:c>
      <x:c r="B36" s="9" t="str">
        <x:v>Bloco</x:v>
      </x:c>
      <x:c r="C36" s="9" t="str">
        <x:v>Responsável</x:v>
      </x:c>
      <x:c r="D36" s="9" t="str">
        <x:v>Documento</x:v>
      </x:c>
      <x:c r="E36" s="9" t="str">
        <x:v>Telefone</x:v>
      </x:c>
      <x:c r="F36" s="9" t="str">
        <x:v>E-mail</x:v>
      </x:c>
      <x:c r="G36" s="9" t="str">
        <x:v>Vencimento</x:v>
      </x:c>
      <x:c r="H36" s="9" t="str">
        <x:v>Competência</x:v>
      </x:c>
      <x:c r="I36" s="9" t="str">
        <x:v>Valor original</x:v>
      </x:c>
      <x:c r="J36" s="9" t="str">
        <x:v>Valor atualizado</x:v>
      </x:c>
      <x:c r="K36" s="9" t="str">
        <x:v>Status operacional</x:v>
      </x:c>
      <x:c r="L36" s="9" t="str">
        <x:v>Status financeiro</x:v>
      </x:c>
      <x:c r="M36" s="9" t="str">
        <x:v>ID cobrança</x:v>
      </x:c>
      <x:c r="N36" s="9" t="str">
        <x:v>Observação</x:v>
      </x:c>
    </x:row>
    <x:row r="37">
      <x:c r="A37" s="44" t="str">
        <x:f>"001410"</x:f>
        <x:v>001410</x:v>
      </x:c>
      <x:c r="B37" s="45" t="str">
        <x:f>"0"</x:f>
        <x:v>0</x:v>
      </x:c>
      <x:c r="C37" s="45" t="str">
        <x:v>JACY EVANGELISTA</x:v>
      </x:c>
      <x:c r="D37" s="45" t="str">
        <x:f>"32960700872"</x:f>
        <x:v>32960700872</x:v>
      </x:c>
      <x:c r="E37" s="45" t="str">
        <x:f>"11993393201"</x:f>
        <x:v>11993393201</x:v>
      </x:c>
      <x:c r="F37" s="45" t="str">
        <x:v>pedroevangelista67@gmail.com</x:v>
      </x:c>
      <x:c r="G37" s="46" t="n">
        <x:v>46152</x:v>
      </x:c>
      <x:c r="H37" s="47" t="str">
        <x:v>05/2026</x:v>
      </x:c>
      <x:c r="I37" s="48" t="n">
        <x:v>589.91</x:v>
      </x:c>
      <x:c r="J37" s="48" t="n">
        <x:v>618.61</x:v>
      </x:c>
      <x:c r="K37" s="47" t="str">
        <x:v>Em cobrança ativa</x:v>
      </x:c>
      <x:c r="L37" s="47" t="str">
        <x:v>Em aberto</x:v>
      </x:c>
      <x:c r="M37" s="47" t="str">
        <x:v>2dfb62f3-3469-4336-839c-a898d96dcd4f</x:v>
      </x:c>
      <x:c r="N37" s="49" t="str"/>
    </x:row>
    <x:row r="38">
      <x:c r="A38" s="42" t="str">
        <x:v>Subtotal</x:v>
      </x:c>
      <x:c r="B38" s="42" t="str"/>
      <x:c r="C38" s="42" t="str"/>
      <x:c r="D38" s="42" t="str"/>
      <x:c r="E38" s="42" t="str"/>
      <x:c r="F38" s="42" t="str"/>
      <x:c r="G38" s="42" t="str"/>
      <x:c r="H38" s="42" t="str"/>
      <x:c r="I38" s="42" t="str"/>
      <x:c r="J38" s="43" t="n">
        <x:v>618.61</x:v>
      </x:c>
      <x:c r="K38" s="42" t="str"/>
      <x:c r="L38" s="42" t="str">
        <x:v>1 cobranças</x:v>
      </x:c>
      <x:c r="M38" s="42" t="str"/>
      <x:c r="N38" s="42" t="str"/>
    </x:row>
  </x:sheetData>
  <x:mergeCells>
    <x:mergeCell ref="A1:N1"/>
    <x:mergeCell ref="A3:N3"/>
    <x:mergeCell ref="A5:N5"/>
    <x:mergeCell ref="B6:C6"/>
    <x:mergeCell ref="G6:N6"/>
    <x:mergeCell ref="A12:N12"/>
    <x:mergeCell ref="B13:C13"/>
    <x:mergeCell ref="G13:N13"/>
    <x:mergeCell ref="A18:N18"/>
    <x:mergeCell ref="A20:N20"/>
    <x:mergeCell ref="B21:C21"/>
    <x:mergeCell ref="G21:N21"/>
    <x:mergeCell ref="A26:N26"/>
    <x:mergeCell ref="A28:N28"/>
    <x:mergeCell ref="B29:C29"/>
    <x:mergeCell ref="G29:N29"/>
    <x:mergeCell ref="A34:N34"/>
    <x:mergeCell ref="B35:C35"/>
    <x:mergeCell ref="G35:N35"/>
  </x:mergeCells>
  <x:pageMargins left="0.7" right="0.7" top="0.75" bottom="0.75" header="0.3" footer="0.3"/>
</x:worksheet>
</file>